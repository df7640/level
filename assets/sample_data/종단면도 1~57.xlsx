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270" yWindow="615" windowWidth="14775" windowHeight="10125"/>
  </bookViews>
  <sheets>
    <sheet name="측점데이터" sheetId="3" r:id="rId1"/>
  </sheets>
  <calcPr calcId="144525"/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33" i="3"/>
  <c r="N34" i="3"/>
  <c r="N35" i="3"/>
  <c r="N36" i="3"/>
  <c r="N37" i="3"/>
  <c r="N38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80" i="3"/>
  <c r="N84" i="3"/>
  <c r="N85" i="3"/>
  <c r="N86" i="3"/>
  <c r="N87" i="3"/>
  <c r="N88" i="3"/>
  <c r="N89" i="3"/>
  <c r="N79" i="3"/>
  <c r="M81" i="3" l="1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</calcChain>
</file>

<file path=xl/comments1.xml><?xml version="1.0" encoding="utf-8"?>
<comments xmlns="http://schemas.openxmlformats.org/spreadsheetml/2006/main">
  <authors>
    <author>USER</author>
  </authors>
  <commentList>
    <comment ref="R1" authorId="0">
      <text>
        <r>
          <rPr>
            <b/>
            <sz val="9"/>
            <color indexed="81"/>
            <rFont val="돋움"/>
            <family val="3"/>
            <charset val="129"/>
          </rPr>
          <t>홍수위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기초바닥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높이
</t>
        </r>
      </text>
    </comment>
  </commentList>
</comments>
</file>

<file path=xl/sharedStrings.xml><?xml version="1.0" encoding="utf-8"?>
<sst xmlns="http://schemas.openxmlformats.org/spreadsheetml/2006/main" count="1051" uniqueCount="587">
  <si>
    <t>측점</t>
  </si>
  <si>
    <t>점간거리</t>
  </si>
  <si>
    <t>누가거리</t>
  </si>
  <si>
    <t>지반고</t>
  </si>
  <si>
    <t>최심하상고</t>
  </si>
  <si>
    <t>계획하상고</t>
  </si>
  <si>
    <t>계획홍수위</t>
  </si>
  <si>
    <t>좌안제방고</t>
  </si>
  <si>
    <t>NO.0</t>
  </si>
  <si>
    <t>0.00</t>
  </si>
  <si>
    <t>25.47</t>
  </si>
  <si>
    <t>25.05</t>
  </si>
  <si>
    <t>24.66</t>
  </si>
  <si>
    <t>27.05</t>
  </si>
  <si>
    <t>28.31</t>
  </si>
  <si>
    <t>28.32</t>
  </si>
  <si>
    <t>27.65</t>
  </si>
  <si>
    <t>NO.1</t>
  </si>
  <si>
    <t>20.00</t>
  </si>
  <si>
    <t>25.36</t>
  </si>
  <si>
    <t>24.94</t>
  </si>
  <si>
    <t>24.60</t>
  </si>
  <si>
    <t>26.93</t>
  </si>
  <si>
    <t>27.67</t>
  </si>
  <si>
    <t>27.89</t>
  </si>
  <si>
    <t>27.53</t>
  </si>
  <si>
    <t>NO.2</t>
  </si>
  <si>
    <t>40.00</t>
  </si>
  <si>
    <t>25.09</t>
  </si>
  <si>
    <t>24.81</t>
  </si>
  <si>
    <t>24.55</t>
  </si>
  <si>
    <t>26.80</t>
  </si>
  <si>
    <t>27.61</t>
  </si>
  <si>
    <t>27.74</t>
  </si>
  <si>
    <t>27.40</t>
  </si>
  <si>
    <t>+7.00</t>
  </si>
  <si>
    <t>7.00</t>
  </si>
  <si>
    <t>47.00</t>
  </si>
  <si>
    <t>24.82</t>
  </si>
  <si>
    <t>24.80</t>
  </si>
  <si>
    <t>24.53</t>
  </si>
  <si>
    <t>26.76</t>
  </si>
  <si>
    <t>27.71</t>
  </si>
  <si>
    <t>27.36</t>
  </si>
  <si>
    <t>NO.3</t>
  </si>
  <si>
    <t>13.00</t>
  </si>
  <si>
    <t>60.00</t>
  </si>
  <si>
    <t>24.78</t>
  </si>
  <si>
    <t>24.50</t>
  </si>
  <si>
    <t>26.73</t>
  </si>
  <si>
    <t>27.57</t>
  </si>
  <si>
    <t>27.33</t>
  </si>
  <si>
    <t>NO.4</t>
  </si>
  <si>
    <t>80.00</t>
  </si>
  <si>
    <t>25.30</t>
  </si>
  <si>
    <t>24.79</t>
  </si>
  <si>
    <t>24.44</t>
  </si>
  <si>
    <t>26.69</t>
  </si>
  <si>
    <t>27.56</t>
  </si>
  <si>
    <t>27.54</t>
  </si>
  <si>
    <t>27.29</t>
  </si>
  <si>
    <t>+17.00</t>
  </si>
  <si>
    <t>17.00</t>
  </si>
  <si>
    <t>97.00</t>
  </si>
  <si>
    <t>25.28</t>
  </si>
  <si>
    <t>24.36</t>
  </si>
  <si>
    <t>24.40</t>
  </si>
  <si>
    <t>26.66</t>
  </si>
  <si>
    <t>27.25</t>
  </si>
  <si>
    <t>27.26</t>
  </si>
  <si>
    <t>NO.5</t>
  </si>
  <si>
    <t>3.00</t>
  </si>
  <si>
    <t>100.00</t>
  </si>
  <si>
    <t>25.15</t>
  </si>
  <si>
    <t>24.41</t>
  </si>
  <si>
    <t>24.38</t>
  </si>
  <si>
    <t>26.65</t>
  </si>
  <si>
    <t>27.32</t>
  </si>
  <si>
    <t>27.23</t>
  </si>
  <si>
    <t>NO.6</t>
  </si>
  <si>
    <t>120.00</t>
  </si>
  <si>
    <t>24.37</t>
  </si>
  <si>
    <t>24.23</t>
  </si>
  <si>
    <t>26.61</t>
  </si>
  <si>
    <t>27.30</t>
  </si>
  <si>
    <t>27.27</t>
  </si>
  <si>
    <t>27.21</t>
  </si>
  <si>
    <t>NO.7</t>
  </si>
  <si>
    <t>140.00</t>
  </si>
  <si>
    <t>24.46</t>
  </si>
  <si>
    <t>24.24</t>
  </si>
  <si>
    <t>24.09</t>
  </si>
  <si>
    <t>26.57</t>
  </si>
  <si>
    <t>27.15</t>
  </si>
  <si>
    <t>27.24</t>
  </si>
  <si>
    <t>27.17</t>
  </si>
  <si>
    <t>147.00</t>
  </si>
  <si>
    <t>24.33</t>
  </si>
  <si>
    <t>24.32</t>
  </si>
  <si>
    <t>24.04</t>
  </si>
  <si>
    <t>26.55</t>
  </si>
  <si>
    <t>27.10</t>
  </si>
  <si>
    <t>NO.8</t>
  </si>
  <si>
    <t>160.00</t>
  </si>
  <si>
    <t>24.27</t>
  </si>
  <si>
    <t>24.21</t>
  </si>
  <si>
    <t>24.01</t>
  </si>
  <si>
    <t>26.53</t>
  </si>
  <si>
    <t>27.18</t>
  </si>
  <si>
    <t>27.13</t>
  </si>
  <si>
    <t>NO.9</t>
  </si>
  <si>
    <t>180.00</t>
  </si>
  <si>
    <t>23.95</t>
  </si>
  <si>
    <t>26.49</t>
  </si>
  <si>
    <t>26.71</t>
  </si>
  <si>
    <t>27.09</t>
  </si>
  <si>
    <t>197.00</t>
  </si>
  <si>
    <t>24.08</t>
  </si>
  <si>
    <t>23.91</t>
  </si>
  <si>
    <t>26.46</t>
  </si>
  <si>
    <t>26.58</t>
  </si>
  <si>
    <t>27.07</t>
  </si>
  <si>
    <t>27.06</t>
  </si>
  <si>
    <t>NO.10</t>
  </si>
  <si>
    <t>200.00</t>
  </si>
  <si>
    <t>24.07</t>
  </si>
  <si>
    <t>26.44</t>
  </si>
  <si>
    <t>27.04</t>
  </si>
  <si>
    <t>NO.11</t>
  </si>
  <si>
    <t>220.00</t>
  </si>
  <si>
    <t>23.88</t>
  </si>
  <si>
    <t>23.89</t>
  </si>
  <si>
    <t>26.32</t>
  </si>
  <si>
    <t>26.51</t>
  </si>
  <si>
    <t>26.92</t>
  </si>
  <si>
    <t>NO.12</t>
  </si>
  <si>
    <t>240.00</t>
  </si>
  <si>
    <t>24.11</t>
  </si>
  <si>
    <t>24.00</t>
  </si>
  <si>
    <t>26.19</t>
  </si>
  <si>
    <t>26.20</t>
  </si>
  <si>
    <t>27.01</t>
  </si>
  <si>
    <t>26.79</t>
  </si>
  <si>
    <t>247.00</t>
  </si>
  <si>
    <t>23.98</t>
  </si>
  <si>
    <t>23.96</t>
  </si>
  <si>
    <t>23.87</t>
  </si>
  <si>
    <t>26.15</t>
  </si>
  <si>
    <t>26.99</t>
  </si>
  <si>
    <t>26.75</t>
  </si>
  <si>
    <t>NO.13</t>
  </si>
  <si>
    <t>260.00</t>
  </si>
  <si>
    <t>23.86</t>
  </si>
  <si>
    <t>23.75</t>
  </si>
  <si>
    <t>26.13</t>
  </si>
  <si>
    <t>26.11</t>
  </si>
  <si>
    <t>26.98</t>
  </si>
  <si>
    <t>NO.14</t>
  </si>
  <si>
    <t>280.00</t>
  </si>
  <si>
    <t>23.82</t>
  </si>
  <si>
    <t>23.57</t>
  </si>
  <si>
    <t>26.10</t>
  </si>
  <si>
    <t>26.70</t>
  </si>
  <si>
    <t>297.00</t>
  </si>
  <si>
    <t>24.06</t>
  </si>
  <si>
    <t>24.05</t>
  </si>
  <si>
    <t>23.41</t>
  </si>
  <si>
    <t>26.07</t>
  </si>
  <si>
    <t>26.03</t>
  </si>
  <si>
    <t>26.67</t>
  </si>
  <si>
    <t>NO.15</t>
  </si>
  <si>
    <t>300.00</t>
  </si>
  <si>
    <t>23.40</t>
  </si>
  <si>
    <t>26.06</t>
  </si>
  <si>
    <t>26.02</t>
  </si>
  <si>
    <t>27.49</t>
  </si>
  <si>
    <t>NO.16</t>
  </si>
  <si>
    <t>320.00</t>
  </si>
  <si>
    <t>23.90</t>
  </si>
  <si>
    <t>23.72</t>
  </si>
  <si>
    <t>23.37</t>
  </si>
  <si>
    <t>25.96</t>
  </si>
  <si>
    <t>26.05</t>
  </si>
  <si>
    <t>27.84</t>
  </si>
  <si>
    <t>26.56</t>
  </si>
  <si>
    <t>NO.17</t>
  </si>
  <si>
    <t>340.00</t>
  </si>
  <si>
    <t>24.34</t>
  </si>
  <si>
    <t>23.81</t>
  </si>
  <si>
    <t>23.33</t>
  </si>
  <si>
    <t>25.86</t>
  </si>
  <si>
    <t>26.08</t>
  </si>
  <si>
    <t>28.27</t>
  </si>
  <si>
    <t>347.00</t>
  </si>
  <si>
    <t>23.71</t>
  </si>
  <si>
    <t>23.32</t>
  </si>
  <si>
    <t>25.83</t>
  </si>
  <si>
    <t>28.39</t>
  </si>
  <si>
    <t>26.43</t>
  </si>
  <si>
    <t>NO.18</t>
  </si>
  <si>
    <t>360.00</t>
  </si>
  <si>
    <t>23.79</t>
  </si>
  <si>
    <t>23.55</t>
  </si>
  <si>
    <t>25.76</t>
  </si>
  <si>
    <t>26.39</t>
  </si>
  <si>
    <t>28.50</t>
  </si>
  <si>
    <t>27.03</t>
  </si>
  <si>
    <t>+18.00</t>
  </si>
  <si>
    <t>18.00</t>
  </si>
  <si>
    <t>378.00</t>
  </si>
  <si>
    <t>25.67</t>
  </si>
  <si>
    <t>27.91</t>
  </si>
  <si>
    <t>NO.19</t>
  </si>
  <si>
    <t>2.50</t>
  </si>
  <si>
    <t>380.00</t>
  </si>
  <si>
    <t>23.84</t>
  </si>
  <si>
    <t>25.65</t>
  </si>
  <si>
    <t>NO.20</t>
  </si>
  <si>
    <t>400.00</t>
  </si>
  <si>
    <t>23.68</t>
  </si>
  <si>
    <t>25.50</t>
  </si>
  <si>
    <t>27.73</t>
  </si>
  <si>
    <t>27.76</t>
  </si>
  <si>
    <t>417.00</t>
  </si>
  <si>
    <t>23.54</t>
  </si>
  <si>
    <t>25.37</t>
  </si>
  <si>
    <t>NO.21</t>
  </si>
  <si>
    <t>420.00</t>
  </si>
  <si>
    <t>23.52</t>
  </si>
  <si>
    <t>27.45</t>
  </si>
  <si>
    <t>NO.22</t>
  </si>
  <si>
    <t>440.00</t>
  </si>
  <si>
    <t>23.39</t>
  </si>
  <si>
    <t>25.31</t>
  </si>
  <si>
    <t>25.40</t>
  </si>
  <si>
    <t>26.18</t>
  </si>
  <si>
    <t>26.50</t>
  </si>
  <si>
    <t>447.00</t>
  </si>
  <si>
    <t>23.34</t>
  </si>
  <si>
    <t>23.35</t>
  </si>
  <si>
    <t>25.29</t>
  </si>
  <si>
    <t>25.44</t>
  </si>
  <si>
    <t>26.09</t>
  </si>
  <si>
    <t>NO.23</t>
  </si>
  <si>
    <t>460.00</t>
  </si>
  <si>
    <t>23.30</t>
  </si>
  <si>
    <t>25.24</t>
  </si>
  <si>
    <t>25.32</t>
  </si>
  <si>
    <t>25.12</t>
  </si>
  <si>
    <t>25.84</t>
  </si>
  <si>
    <t>NO.24</t>
  </si>
  <si>
    <t>480.00</t>
  </si>
  <si>
    <t>23.64</t>
  </si>
  <si>
    <t>23.18</t>
  </si>
  <si>
    <t>23.22</t>
  </si>
  <si>
    <t>25.16</t>
  </si>
  <si>
    <t>25.11</t>
  </si>
  <si>
    <t>24.71</t>
  </si>
  <si>
    <t>497.00</t>
  </si>
  <si>
    <t>23.06</t>
  </si>
  <si>
    <t>23.08</t>
  </si>
  <si>
    <t>23.15</t>
  </si>
  <si>
    <t>25.07</t>
  </si>
  <si>
    <t>24.97</t>
  </si>
  <si>
    <t>25.69</t>
  </si>
  <si>
    <t>NO.25</t>
  </si>
  <si>
    <t>500.00</t>
  </si>
  <si>
    <t>23.01</t>
  </si>
  <si>
    <t>22.97</t>
  </si>
  <si>
    <t>25.08</t>
  </si>
  <si>
    <t>24.98</t>
  </si>
  <si>
    <t>26.52</t>
  </si>
  <si>
    <t>25.68</t>
  </si>
  <si>
    <t>+6.50</t>
  </si>
  <si>
    <t>6.50</t>
  </si>
  <si>
    <t>506.50</t>
  </si>
  <si>
    <t>22.83</t>
  </si>
  <si>
    <t>22.72</t>
  </si>
  <si>
    <t>+16.50</t>
  </si>
  <si>
    <t>10.00</t>
  </si>
  <si>
    <t>516.50</t>
  </si>
  <si>
    <t>23.10</t>
  </si>
  <si>
    <t>NO.26</t>
  </si>
  <si>
    <t>3.50</t>
  </si>
  <si>
    <t>520.00</t>
  </si>
  <si>
    <t>23.62</t>
  </si>
  <si>
    <t>22.80</t>
  </si>
  <si>
    <t>22.69</t>
  </si>
  <si>
    <t>25.02</t>
  </si>
  <si>
    <t>25.62</t>
  </si>
  <si>
    <t>NO.27</t>
  </si>
  <si>
    <t>540.00</t>
  </si>
  <si>
    <t>23.25</t>
  </si>
  <si>
    <t>22.46</t>
  </si>
  <si>
    <t>22.54</t>
  </si>
  <si>
    <t>24.75</t>
  </si>
  <si>
    <t>24.92</t>
  </si>
  <si>
    <t>25.35</t>
  </si>
  <si>
    <t>547.00</t>
  </si>
  <si>
    <t>23.42</t>
  </si>
  <si>
    <t>22.66</t>
  </si>
  <si>
    <t>22.49</t>
  </si>
  <si>
    <t>25.26</t>
  </si>
  <si>
    <t>NO.28</t>
  </si>
  <si>
    <t>560.00</t>
  </si>
  <si>
    <t>23.38</t>
  </si>
  <si>
    <t>22.76</t>
  </si>
  <si>
    <t>22.32</t>
  </si>
  <si>
    <t>25.13</t>
  </si>
  <si>
    <t>NO.29</t>
  </si>
  <si>
    <t>580.00</t>
  </si>
  <si>
    <t>23.26</t>
  </si>
  <si>
    <t>22.13</t>
  </si>
  <si>
    <t>22.07</t>
  </si>
  <si>
    <t>24.93</t>
  </si>
  <si>
    <t>587.00</t>
  </si>
  <si>
    <t>23.02</t>
  </si>
  <si>
    <t>22.18</t>
  </si>
  <si>
    <t>21.98</t>
  </si>
  <si>
    <t>24.26</t>
  </si>
  <si>
    <t>24.59</t>
  </si>
  <si>
    <t>24.86</t>
  </si>
  <si>
    <t>597.00</t>
  </si>
  <si>
    <t>22.63</t>
  </si>
  <si>
    <t>21.94</t>
  </si>
  <si>
    <t>21.85</t>
  </si>
  <si>
    <t>24.16</t>
  </si>
  <si>
    <t>22.89</t>
  </si>
  <si>
    <t>24.76</t>
  </si>
  <si>
    <t>NO.30</t>
  </si>
  <si>
    <t>600.00</t>
  </si>
  <si>
    <t>21.92</t>
  </si>
  <si>
    <t>21.82</t>
  </si>
  <si>
    <t>24.15</t>
  </si>
  <si>
    <t>24.73</t>
  </si>
  <si>
    <t>24.19</t>
  </si>
  <si>
    <t>+8.00</t>
  </si>
  <si>
    <t>8.00</t>
  </si>
  <si>
    <t>608.00</t>
  </si>
  <si>
    <t>21.73</t>
  </si>
  <si>
    <t>24.14</t>
  </si>
  <si>
    <t>24.25</t>
  </si>
  <si>
    <t>24.51</t>
  </si>
  <si>
    <t>24.74</t>
  </si>
  <si>
    <t>NO.31</t>
  </si>
  <si>
    <t>12.00</t>
  </si>
  <si>
    <t>620.00</t>
  </si>
  <si>
    <t>21.60</t>
  </si>
  <si>
    <t>24.52</t>
  </si>
  <si>
    <t>NO.32</t>
  </si>
  <si>
    <t>640.00</t>
  </si>
  <si>
    <t>21.34</t>
  </si>
  <si>
    <t>21.33</t>
  </si>
  <si>
    <t>21.38</t>
  </si>
  <si>
    <t>24.31</t>
  </si>
  <si>
    <t>24.67</t>
  </si>
  <si>
    <t>647.00</t>
  </si>
  <si>
    <t>21.46</t>
  </si>
  <si>
    <t>21.45</t>
  </si>
  <si>
    <t>21.30</t>
  </si>
  <si>
    <t>25.00</t>
  </si>
  <si>
    <t>24.65</t>
  </si>
  <si>
    <t>NO.33</t>
  </si>
  <si>
    <t>660.00</t>
  </si>
  <si>
    <t>21.42</t>
  </si>
  <si>
    <t>21.28</t>
  </si>
  <si>
    <t>21.26</t>
  </si>
  <si>
    <t>24.02</t>
  </si>
  <si>
    <t>24.62</t>
  </si>
  <si>
    <t>NO.34</t>
  </si>
  <si>
    <t>680.00</t>
  </si>
  <si>
    <t>21.41</t>
  </si>
  <si>
    <t>21.24</t>
  </si>
  <si>
    <t>21.21</t>
  </si>
  <si>
    <t>23.97</t>
  </si>
  <si>
    <t>24.30</t>
  </si>
  <si>
    <t>25.03</t>
  </si>
  <si>
    <t>25.64</t>
  </si>
  <si>
    <t>+10.00</t>
  </si>
  <si>
    <t>690.00</t>
  </si>
  <si>
    <t>21.65</t>
  </si>
  <si>
    <t>21.39</t>
  </si>
  <si>
    <t>21.18</t>
  </si>
  <si>
    <t>+15.00</t>
  </si>
  <si>
    <t>5.00</t>
  </si>
  <si>
    <t>695.00</t>
  </si>
  <si>
    <t>22.04</t>
  </si>
  <si>
    <t>21.49</t>
  </si>
  <si>
    <t>2.00</t>
  </si>
  <si>
    <t>697.00</t>
  </si>
  <si>
    <t>22.05</t>
  </si>
  <si>
    <t>21.35</t>
  </si>
  <si>
    <t>24.83</t>
  </si>
  <si>
    <t>24.95</t>
  </si>
  <si>
    <t>NO.35</t>
  </si>
  <si>
    <t>700.00</t>
  </si>
  <si>
    <t>21.17</t>
  </si>
  <si>
    <t>23.94</t>
  </si>
  <si>
    <t>24.91</t>
  </si>
  <si>
    <t>NO.36</t>
  </si>
  <si>
    <t>720.00</t>
  </si>
  <si>
    <t>21.13</t>
  </si>
  <si>
    <t>23.85</t>
  </si>
  <si>
    <t>24.43</t>
  </si>
  <si>
    <t>24.45</t>
  </si>
  <si>
    <t>NO.37</t>
  </si>
  <si>
    <t>740.00</t>
  </si>
  <si>
    <t>21.19</t>
  </si>
  <si>
    <t>21.09</t>
  </si>
  <si>
    <t>23.77</t>
  </si>
  <si>
    <t>23.36</t>
  </si>
  <si>
    <t>747.00</t>
  </si>
  <si>
    <t>21.14</t>
  </si>
  <si>
    <t>21.10</t>
  </si>
  <si>
    <t>21.07</t>
  </si>
  <si>
    <t>23.74</t>
  </si>
  <si>
    <t>NO.38</t>
  </si>
  <si>
    <t>760.00</t>
  </si>
  <si>
    <t>21.06</t>
  </si>
  <si>
    <t>21.01</t>
  </si>
  <si>
    <t>21.04</t>
  </si>
  <si>
    <t>23.28</t>
  </si>
  <si>
    <t>23.76</t>
  </si>
  <si>
    <t>NO.39</t>
  </si>
  <si>
    <t>780.00</t>
  </si>
  <si>
    <t>21.56</t>
  </si>
  <si>
    <t>21.08</t>
  </si>
  <si>
    <t>21.00</t>
  </si>
  <si>
    <t>23.69</t>
  </si>
  <si>
    <t>24.29</t>
  </si>
  <si>
    <t>797.00</t>
  </si>
  <si>
    <t>21.47</t>
  </si>
  <si>
    <t>20.92</t>
  </si>
  <si>
    <t>20.96</t>
  </si>
  <si>
    <t>23.66</t>
  </si>
  <si>
    <t>23.27</t>
  </si>
  <si>
    <t>NO.40</t>
  </si>
  <si>
    <t>800.00</t>
  </si>
  <si>
    <t>21.43</t>
  </si>
  <si>
    <t>20.93</t>
  </si>
  <si>
    <t>20.95</t>
  </si>
  <si>
    <t>NO.41</t>
  </si>
  <si>
    <t>820.00</t>
  </si>
  <si>
    <t>21.03</t>
  </si>
  <si>
    <t>20.73</t>
  </si>
  <si>
    <t>20.91</t>
  </si>
  <si>
    <t>23.04</t>
  </si>
  <si>
    <t>24.22</t>
  </si>
  <si>
    <t>NO.42</t>
  </si>
  <si>
    <t>840.00</t>
  </si>
  <si>
    <t>20.83</t>
  </si>
  <si>
    <t>20.87</t>
  </si>
  <si>
    <t>23.59</t>
  </si>
  <si>
    <t>23.67</t>
  </si>
  <si>
    <t>847.00</t>
  </si>
  <si>
    <t>20.85</t>
  </si>
  <si>
    <t>23.58</t>
  </si>
  <si>
    <t>23.73</t>
  </si>
  <si>
    <t>24.18</t>
  </si>
  <si>
    <t>NO.43</t>
  </si>
  <si>
    <t>860.00</t>
  </si>
  <si>
    <t>20.66</t>
  </si>
  <si>
    <t>20.63</t>
  </si>
  <si>
    <t>20.72</t>
  </si>
  <si>
    <t>23.56</t>
  </si>
  <si>
    <t>23.61</t>
  </si>
  <si>
    <t>24.17</t>
  </si>
  <si>
    <t>NO.44</t>
  </si>
  <si>
    <t>880.00</t>
  </si>
  <si>
    <t>20.43</t>
  </si>
  <si>
    <t>20.41</t>
  </si>
  <si>
    <t>20.52</t>
  </si>
  <si>
    <t>897.00</t>
  </si>
  <si>
    <t>20.54</t>
  </si>
  <si>
    <t>20.53</t>
  </si>
  <si>
    <t>20.35</t>
  </si>
  <si>
    <t>23.49</t>
  </si>
  <si>
    <t>NO.45</t>
  </si>
  <si>
    <t>900.00</t>
  </si>
  <si>
    <t>20.33</t>
  </si>
  <si>
    <t>23.50</t>
  </si>
  <si>
    <t>23.24</t>
  </si>
  <si>
    <t>NO.46</t>
  </si>
  <si>
    <t>920.00</t>
  </si>
  <si>
    <t>20.32</t>
  </si>
  <si>
    <t>20.19</t>
  </si>
  <si>
    <t>23.47</t>
  </si>
  <si>
    <t>22.92</t>
  </si>
  <si>
    <t>24.12</t>
  </si>
  <si>
    <t>NO.47</t>
  </si>
  <si>
    <t>940.00</t>
  </si>
  <si>
    <t>20.20</t>
  </si>
  <si>
    <t>20.06</t>
  </si>
  <si>
    <t>23.51</t>
  </si>
  <si>
    <t>947.00</t>
  </si>
  <si>
    <t>20.26</t>
  </si>
  <si>
    <t>20.01</t>
  </si>
  <si>
    <t>22.73</t>
  </si>
  <si>
    <t>24.10</t>
  </si>
  <si>
    <t>NO.48</t>
  </si>
  <si>
    <t>960.00</t>
  </si>
  <si>
    <t>20.38</t>
  </si>
  <si>
    <t>20.37</t>
  </si>
  <si>
    <t>19.96</t>
  </si>
  <si>
    <t>22.95</t>
  </si>
  <si>
    <t>NO.49</t>
  </si>
  <si>
    <t>980.00</t>
  </si>
  <si>
    <t>20.60</t>
  </si>
  <si>
    <t>20.30</t>
  </si>
  <si>
    <t>19.88</t>
  </si>
  <si>
    <t>23.48</t>
  </si>
  <si>
    <t>23.44</t>
  </si>
  <si>
    <t>22.71</t>
  </si>
  <si>
    <t>997.00</t>
  </si>
  <si>
    <t>20.16</t>
  </si>
  <si>
    <t>20.15</t>
  </si>
  <si>
    <t>19.81</t>
  </si>
  <si>
    <t>22.67</t>
  </si>
  <si>
    <t>NO.50</t>
  </si>
  <si>
    <t>1000.00</t>
  </si>
  <si>
    <t>20.17</t>
  </si>
  <si>
    <t>20.13</t>
  </si>
  <si>
    <t>19.82</t>
  </si>
  <si>
    <t>23.46</t>
  </si>
  <si>
    <t>NO.51</t>
  </si>
  <si>
    <t>1020.00</t>
  </si>
  <si>
    <t>19.99</t>
  </si>
  <si>
    <t>19.83</t>
  </si>
  <si>
    <t>19.93</t>
  </si>
  <si>
    <t>15.00</t>
  </si>
  <si>
    <t>1035.00</t>
  </si>
  <si>
    <t>24.70</t>
  </si>
  <si>
    <t>NO.52</t>
  </si>
  <si>
    <t>1040.00</t>
  </si>
  <si>
    <t>+5.00</t>
  </si>
  <si>
    <t>1045.00</t>
  </si>
  <si>
    <t>NO.53</t>
  </si>
  <si>
    <t>1060.00</t>
  </si>
  <si>
    <t>20.22</t>
  </si>
  <si>
    <t>19.89</t>
  </si>
  <si>
    <t>19.90</t>
  </si>
  <si>
    <t>23.23</t>
  </si>
  <si>
    <t>NO.54</t>
  </si>
  <si>
    <t>1080.00</t>
  </si>
  <si>
    <t>19.77</t>
  </si>
  <si>
    <t>23.13</t>
  </si>
  <si>
    <t>NO.55</t>
  </si>
  <si>
    <t>1100.00</t>
  </si>
  <si>
    <t>19.76</t>
  </si>
  <si>
    <t>19.57</t>
  </si>
  <si>
    <t>19.63</t>
  </si>
  <si>
    <t>23.03</t>
  </si>
  <si>
    <t>24.03</t>
  </si>
  <si>
    <t>NO.56</t>
  </si>
  <si>
    <t>1120.00</t>
  </si>
  <si>
    <t>19.39</t>
  </si>
  <si>
    <t>19.28</t>
  </si>
  <si>
    <t>19.50</t>
  </si>
  <si>
    <t>22.93</t>
  </si>
  <si>
    <t>24.56</t>
  </si>
  <si>
    <t>NO.57</t>
  </si>
  <si>
    <t>1140.00</t>
  </si>
  <si>
    <t>19.33</t>
  </si>
  <si>
    <t>19.37</t>
  </si>
  <si>
    <t>1147.00</t>
  </si>
  <si>
    <t>19.31</t>
  </si>
  <si>
    <t>22.79</t>
  </si>
  <si>
    <t>24.49</t>
  </si>
  <si>
    <t>우안제방고</t>
    <phoneticPr fontId="1" type="noConversion"/>
  </si>
  <si>
    <t>계획제방고_좌</t>
    <phoneticPr fontId="1" type="noConversion"/>
  </si>
  <si>
    <t>계획제방고_우</t>
    <phoneticPr fontId="1" type="noConversion"/>
  </si>
  <si>
    <t>노체_좌</t>
    <phoneticPr fontId="1" type="noConversion"/>
  </si>
  <si>
    <t>노체_우</t>
    <phoneticPr fontId="1" type="noConversion"/>
  </si>
  <si>
    <t>기울기</t>
    <phoneticPr fontId="1" type="noConversion"/>
  </si>
  <si>
    <t>R</t>
    <phoneticPr fontId="1" type="noConversion"/>
  </si>
  <si>
    <t>N</t>
    <phoneticPr fontId="1" type="noConversion"/>
  </si>
  <si>
    <t>L</t>
    <phoneticPr fontId="1" type="noConversion"/>
  </si>
  <si>
    <t>LR</t>
    <phoneticPr fontId="1" type="noConversion"/>
  </si>
  <si>
    <t>N</t>
    <phoneticPr fontId="1" type="noConversion"/>
  </si>
  <si>
    <t>L</t>
    <phoneticPr fontId="1" type="noConversion"/>
  </si>
  <si>
    <t>각도</t>
    <phoneticPr fontId="1" type="noConversion"/>
  </si>
  <si>
    <t>LR</t>
    <phoneticPr fontId="1" type="noConversion"/>
  </si>
  <si>
    <t>Height</t>
    <phoneticPr fontId="1" type="noConversion"/>
  </si>
  <si>
    <t>단수</t>
    <phoneticPr fontId="1" type="noConversion"/>
  </si>
  <si>
    <t>옵셋좌</t>
    <phoneticPr fontId="1" type="noConversion"/>
  </si>
  <si>
    <t>옵셋우</t>
    <phoneticPr fontId="1" type="noConversion"/>
  </si>
  <si>
    <t>기초터파기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</si>
</sst>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.000"/>
  </numFmts>
  <fonts count="9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11"/>
      <color theme="0"/>
      <name val="맑은 고딕"/>
      <family val="3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89"/>
  <sheetViews>
    <sheetView tabSelected="1" workbookViewId="0">
      <pane xSplit="1" ySplit="1" topLeftCell="I2" activePane="bottomRight" state="frozenSplit"/>
      <selection pane="topRight" activeCell="I1" sqref="I1"/>
      <selection pane="bottomLeft" activeCell="A2" sqref="A2"/>
      <selection pane="bottomRight" activeCell="P4" sqref="P4"/>
    </sheetView>
  </sheetViews>
  <sheetFormatPr defaultColWidth="9" defaultRowHeight="16.5" x14ac:dyDescent="0.3"/>
  <cols>
    <col min="1" max="9" width="11.5" style="3" customWidth="1"/>
    <col min="10" max="10" width="9.5" style="3" customWidth="1"/>
    <col min="11" max="13" width="9" style="3" customWidth="1"/>
    <col min="14" max="14" width="11.25" style="3" bestFit="1" customWidth="1"/>
    <col min="15" max="16" width="9" style="3" customWidth="1"/>
    <col min="17" max="17" width="5.25" style="3" customWidth="1"/>
    <col min="18" max="18" width="6.375" style="3" customWidth="1"/>
    <col min="19" max="19" width="5.5" style="3" bestFit="1" customWidth="1"/>
    <col min="20" max="20" width="7.375" style="3" bestFit="1" customWidth="1"/>
    <col min="21" max="21" width="5.125" style="3" customWidth="1"/>
    <col min="22" max="16384" width="9" style="1"/>
  </cols>
  <sheetData>
    <row r="1" spans="1:21" s="4" customFormat="1" ht="27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568</v>
      </c>
      <c r="J1" s="5" t="s">
        <v>569</v>
      </c>
      <c r="K1" s="5" t="s">
        <v>570</v>
      </c>
      <c r="L1" s="5" t="s">
        <v>571</v>
      </c>
      <c r="M1" s="5" t="s">
        <v>572</v>
      </c>
      <c r="N1" s="12" t="s">
        <v>586</v>
      </c>
      <c r="O1" s="7" t="s">
        <v>584</v>
      </c>
      <c r="P1" s="7" t="s">
        <v>585</v>
      </c>
      <c r="Q1" s="12" t="s">
        <v>581</v>
      </c>
      <c r="R1" s="12" t="s">
        <v>582</v>
      </c>
      <c r="S1" s="12" t="s">
        <v>583</v>
      </c>
      <c r="T1" s="12" t="s">
        <v>573</v>
      </c>
      <c r="U1" s="12" t="s">
        <v>580</v>
      </c>
    </row>
    <row r="2" spans="1:21" ht="21" customHeight="1" x14ac:dyDescent="0.3">
      <c r="A2" s="2" t="s">
        <v>8</v>
      </c>
      <c r="B2" s="2" t="s">
        <v>9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2" t="s">
        <v>15</v>
      </c>
      <c r="J2" s="2" t="s">
        <v>16</v>
      </c>
      <c r="K2" s="2" t="s">
        <v>16</v>
      </c>
      <c r="L2" s="6">
        <f>J2-0.4</f>
        <v>27.25</v>
      </c>
      <c r="M2" s="6">
        <f>K2-0.4</f>
        <v>27.25</v>
      </c>
      <c r="N2" s="15"/>
      <c r="O2" s="17"/>
      <c r="P2" s="17"/>
      <c r="Q2" s="15" t="s">
        <v>575</v>
      </c>
      <c r="R2" s="16"/>
      <c r="S2" s="16"/>
      <c r="T2" s="16"/>
      <c r="U2" s="16"/>
    </row>
    <row r="3" spans="1:21" ht="21" customHeight="1" x14ac:dyDescent="0.3">
      <c r="A3" s="2" t="s">
        <v>17</v>
      </c>
      <c r="B3" s="2" t="s">
        <v>18</v>
      </c>
      <c r="C3" s="2" t="s">
        <v>18</v>
      </c>
      <c r="D3" s="2" t="s">
        <v>19</v>
      </c>
      <c r="E3" s="2" t="s">
        <v>20</v>
      </c>
      <c r="F3" s="2" t="s">
        <v>21</v>
      </c>
      <c r="G3" s="2" t="s">
        <v>22</v>
      </c>
      <c r="H3" s="2" t="s">
        <v>23</v>
      </c>
      <c r="I3" s="2" t="s">
        <v>24</v>
      </c>
      <c r="J3" s="2" t="s">
        <v>25</v>
      </c>
      <c r="K3" s="2" t="s">
        <v>25</v>
      </c>
      <c r="L3" s="6">
        <f t="shared" ref="L3:M66" si="0">J3-0.4</f>
        <v>27.130000000000003</v>
      </c>
      <c r="M3" s="6">
        <f t="shared" si="0"/>
        <v>27.130000000000003</v>
      </c>
      <c r="N3" s="2">
        <f t="shared" ref="N3:N27" si="1">G3-4.899</f>
        <v>22.030999999999999</v>
      </c>
      <c r="O3" s="9">
        <v>2.3149999999999999</v>
      </c>
      <c r="P3" s="19"/>
      <c r="Q3" s="2" t="s">
        <v>576</v>
      </c>
      <c r="R3" s="2">
        <v>3.18</v>
      </c>
      <c r="S3" s="2">
        <v>5</v>
      </c>
      <c r="T3" s="2">
        <v>1.1479999999999999</v>
      </c>
      <c r="U3" s="2">
        <v>34</v>
      </c>
    </row>
    <row r="4" spans="1:21" ht="21" customHeight="1" x14ac:dyDescent="0.3">
      <c r="A4" s="2" t="s">
        <v>26</v>
      </c>
      <c r="B4" s="2" t="s">
        <v>18</v>
      </c>
      <c r="C4" s="2" t="s">
        <v>27</v>
      </c>
      <c r="D4" s="2" t="s">
        <v>28</v>
      </c>
      <c r="E4" s="2" t="s">
        <v>29</v>
      </c>
      <c r="F4" s="2" t="s">
        <v>30</v>
      </c>
      <c r="G4" s="2" t="s">
        <v>31</v>
      </c>
      <c r="H4" s="2" t="s">
        <v>32</v>
      </c>
      <c r="I4" s="2" t="s">
        <v>33</v>
      </c>
      <c r="J4" s="2" t="s">
        <v>34</v>
      </c>
      <c r="K4" s="2" t="s">
        <v>34</v>
      </c>
      <c r="L4" s="6">
        <f t="shared" si="0"/>
        <v>27</v>
      </c>
      <c r="M4" s="6">
        <f t="shared" si="0"/>
        <v>27</v>
      </c>
      <c r="N4" s="2">
        <f t="shared" si="1"/>
        <v>21.901</v>
      </c>
      <c r="O4" s="10">
        <v>2.3149999999999999</v>
      </c>
      <c r="P4" s="19"/>
      <c r="Q4" s="2" t="s">
        <v>576</v>
      </c>
      <c r="R4" s="2">
        <v>3.18</v>
      </c>
      <c r="S4" s="2">
        <v>5</v>
      </c>
      <c r="T4" s="2">
        <v>1.1479999999999999</v>
      </c>
      <c r="U4" s="2">
        <v>34</v>
      </c>
    </row>
    <row r="5" spans="1:21" ht="21" customHeight="1" x14ac:dyDescent="0.3">
      <c r="A5" s="2" t="s">
        <v>35</v>
      </c>
      <c r="B5" s="2" t="s">
        <v>36</v>
      </c>
      <c r="C5" s="2" t="s">
        <v>37</v>
      </c>
      <c r="D5" s="2" t="s">
        <v>38</v>
      </c>
      <c r="E5" s="2" t="s">
        <v>39</v>
      </c>
      <c r="F5" s="2" t="s">
        <v>40</v>
      </c>
      <c r="G5" s="2" t="s">
        <v>41</v>
      </c>
      <c r="H5" s="2" t="s">
        <v>32</v>
      </c>
      <c r="I5" s="2" t="s">
        <v>42</v>
      </c>
      <c r="J5" s="2" t="s">
        <v>43</v>
      </c>
      <c r="K5" s="2" t="s">
        <v>43</v>
      </c>
      <c r="L5" s="6">
        <f t="shared" si="0"/>
        <v>26.96</v>
      </c>
      <c r="M5" s="6">
        <f t="shared" si="0"/>
        <v>26.96</v>
      </c>
      <c r="N5" s="2">
        <f t="shared" si="1"/>
        <v>21.861000000000001</v>
      </c>
      <c r="O5" s="10">
        <v>2.3149999999999999</v>
      </c>
      <c r="P5" s="19"/>
      <c r="Q5" s="2" t="s">
        <v>576</v>
      </c>
      <c r="R5" s="2">
        <v>3.18</v>
      </c>
      <c r="S5" s="2">
        <v>5</v>
      </c>
      <c r="T5" s="2">
        <v>1.1479999999999999</v>
      </c>
      <c r="U5" s="2">
        <v>34</v>
      </c>
    </row>
    <row r="6" spans="1:21" ht="21" customHeight="1" x14ac:dyDescent="0.3">
      <c r="A6" s="2" t="s">
        <v>44</v>
      </c>
      <c r="B6" s="2" t="s">
        <v>45</v>
      </c>
      <c r="C6" s="2" t="s">
        <v>46</v>
      </c>
      <c r="D6" s="2" t="s">
        <v>39</v>
      </c>
      <c r="E6" s="2" t="s">
        <v>47</v>
      </c>
      <c r="F6" s="2" t="s">
        <v>48</v>
      </c>
      <c r="G6" s="2" t="s">
        <v>49</v>
      </c>
      <c r="H6" s="2" t="s">
        <v>50</v>
      </c>
      <c r="I6" s="2" t="s">
        <v>23</v>
      </c>
      <c r="J6" s="2" t="s">
        <v>51</v>
      </c>
      <c r="K6" s="2" t="s">
        <v>51</v>
      </c>
      <c r="L6" s="6">
        <f t="shared" si="0"/>
        <v>26.93</v>
      </c>
      <c r="M6" s="6">
        <f t="shared" si="0"/>
        <v>26.93</v>
      </c>
      <c r="N6" s="2">
        <f t="shared" si="1"/>
        <v>21.831</v>
      </c>
      <c r="O6" s="10">
        <v>2.3149999999999999</v>
      </c>
      <c r="P6" s="19"/>
      <c r="Q6" s="2" t="s">
        <v>576</v>
      </c>
      <c r="R6" s="2">
        <v>3.18</v>
      </c>
      <c r="S6" s="2">
        <v>5</v>
      </c>
      <c r="T6" s="2">
        <v>1.1479999999999999</v>
      </c>
      <c r="U6" s="2">
        <v>34</v>
      </c>
    </row>
    <row r="7" spans="1:21" ht="21" customHeight="1" x14ac:dyDescent="0.3">
      <c r="A7" s="2" t="s">
        <v>52</v>
      </c>
      <c r="B7" s="2" t="s">
        <v>18</v>
      </c>
      <c r="C7" s="2" t="s">
        <v>53</v>
      </c>
      <c r="D7" s="2" t="s">
        <v>54</v>
      </c>
      <c r="E7" s="2" t="s">
        <v>55</v>
      </c>
      <c r="F7" s="2" t="s">
        <v>56</v>
      </c>
      <c r="G7" s="2" t="s">
        <v>57</v>
      </c>
      <c r="H7" s="2" t="s">
        <v>58</v>
      </c>
      <c r="I7" s="2" t="s">
        <v>59</v>
      </c>
      <c r="J7" s="2" t="s">
        <v>60</v>
      </c>
      <c r="K7" s="2" t="s">
        <v>60</v>
      </c>
      <c r="L7" s="6">
        <f t="shared" si="0"/>
        <v>26.89</v>
      </c>
      <c r="M7" s="6">
        <f t="shared" si="0"/>
        <v>26.89</v>
      </c>
      <c r="N7" s="2">
        <f t="shared" si="1"/>
        <v>21.791</v>
      </c>
      <c r="O7" s="9">
        <v>2.3149999999999999</v>
      </c>
      <c r="P7" s="19"/>
      <c r="Q7" s="2" t="s">
        <v>576</v>
      </c>
      <c r="R7" s="2">
        <v>3.18</v>
      </c>
      <c r="S7" s="2">
        <v>5</v>
      </c>
      <c r="T7" s="2">
        <v>1.1479999999999999</v>
      </c>
      <c r="U7" s="2">
        <v>34</v>
      </c>
    </row>
    <row r="8" spans="1:21" ht="21" customHeight="1" x14ac:dyDescent="0.3">
      <c r="A8" s="2" t="s">
        <v>61</v>
      </c>
      <c r="B8" s="2" t="s">
        <v>62</v>
      </c>
      <c r="C8" s="2" t="s">
        <v>63</v>
      </c>
      <c r="D8" s="2" t="s">
        <v>64</v>
      </c>
      <c r="E8" s="2" t="s">
        <v>65</v>
      </c>
      <c r="F8" s="2" t="s">
        <v>66</v>
      </c>
      <c r="G8" s="2" t="s">
        <v>67</v>
      </c>
      <c r="H8" s="2" t="s">
        <v>51</v>
      </c>
      <c r="I8" s="2" t="s">
        <v>68</v>
      </c>
      <c r="J8" s="2" t="s">
        <v>69</v>
      </c>
      <c r="K8" s="2" t="s">
        <v>69</v>
      </c>
      <c r="L8" s="6">
        <f t="shared" si="0"/>
        <v>26.860000000000003</v>
      </c>
      <c r="M8" s="6">
        <f t="shared" si="0"/>
        <v>26.860000000000003</v>
      </c>
      <c r="N8" s="2">
        <f t="shared" si="1"/>
        <v>21.760999999999999</v>
      </c>
      <c r="O8" s="9">
        <v>3.4550000000000001</v>
      </c>
      <c r="P8" s="19"/>
      <c r="Q8" s="2" t="s">
        <v>576</v>
      </c>
      <c r="R8" s="2">
        <v>3.18</v>
      </c>
      <c r="S8" s="2">
        <v>5</v>
      </c>
      <c r="T8" s="2">
        <v>1.1479999999999999</v>
      </c>
      <c r="U8" s="2">
        <v>34</v>
      </c>
    </row>
    <row r="9" spans="1:21" ht="21" customHeight="1" x14ac:dyDescent="0.3">
      <c r="A9" s="2" t="s">
        <v>70</v>
      </c>
      <c r="B9" s="2" t="s">
        <v>71</v>
      </c>
      <c r="C9" s="2" t="s">
        <v>72</v>
      </c>
      <c r="D9" s="2" t="s">
        <v>73</v>
      </c>
      <c r="E9" s="2" t="s">
        <v>74</v>
      </c>
      <c r="F9" s="2" t="s">
        <v>75</v>
      </c>
      <c r="G9" s="2" t="s">
        <v>76</v>
      </c>
      <c r="H9" s="2" t="s">
        <v>77</v>
      </c>
      <c r="I9" s="2" t="s">
        <v>78</v>
      </c>
      <c r="J9" s="2" t="s">
        <v>68</v>
      </c>
      <c r="K9" s="2" t="s">
        <v>68</v>
      </c>
      <c r="L9" s="6">
        <f t="shared" si="0"/>
        <v>26.85</v>
      </c>
      <c r="M9" s="6">
        <f t="shared" si="0"/>
        <v>26.85</v>
      </c>
      <c r="N9" s="2">
        <f t="shared" si="1"/>
        <v>21.750999999999998</v>
      </c>
      <c r="O9" s="9">
        <v>3.7050000000000001</v>
      </c>
      <c r="P9" s="19"/>
      <c r="Q9" s="2" t="s">
        <v>576</v>
      </c>
      <c r="R9" s="2">
        <v>3.18</v>
      </c>
      <c r="S9" s="2">
        <v>5</v>
      </c>
      <c r="T9" s="2">
        <v>1.1479999999999999</v>
      </c>
      <c r="U9" s="2">
        <v>34</v>
      </c>
    </row>
    <row r="10" spans="1:21" ht="21" customHeight="1" x14ac:dyDescent="0.3">
      <c r="A10" s="2" t="s">
        <v>79</v>
      </c>
      <c r="B10" s="2" t="s">
        <v>18</v>
      </c>
      <c r="C10" s="2" t="s">
        <v>80</v>
      </c>
      <c r="D10" s="2" t="s">
        <v>38</v>
      </c>
      <c r="E10" s="2" t="s">
        <v>81</v>
      </c>
      <c r="F10" s="2" t="s">
        <v>82</v>
      </c>
      <c r="G10" s="2" t="s">
        <v>83</v>
      </c>
      <c r="H10" s="2" t="s">
        <v>84</v>
      </c>
      <c r="I10" s="2" t="s">
        <v>85</v>
      </c>
      <c r="J10" s="2" t="s">
        <v>86</v>
      </c>
      <c r="K10" s="2" t="s">
        <v>86</v>
      </c>
      <c r="L10" s="6">
        <f t="shared" si="0"/>
        <v>26.810000000000002</v>
      </c>
      <c r="M10" s="6">
        <f t="shared" si="0"/>
        <v>26.810000000000002</v>
      </c>
      <c r="N10" s="2">
        <f t="shared" si="1"/>
        <v>21.710999999999999</v>
      </c>
      <c r="O10" s="9">
        <v>3.6629999999999998</v>
      </c>
      <c r="P10" s="19"/>
      <c r="Q10" s="2" t="s">
        <v>576</v>
      </c>
      <c r="R10" s="2">
        <v>3.18</v>
      </c>
      <c r="S10" s="2">
        <v>5</v>
      </c>
      <c r="T10" s="2">
        <v>1.1479999999999999</v>
      </c>
      <c r="U10" s="2">
        <v>34</v>
      </c>
    </row>
    <row r="11" spans="1:21" ht="21" customHeight="1" x14ac:dyDescent="0.3">
      <c r="A11" s="2" t="s">
        <v>87</v>
      </c>
      <c r="B11" s="2" t="s">
        <v>18</v>
      </c>
      <c r="C11" s="2" t="s">
        <v>88</v>
      </c>
      <c r="D11" s="2" t="s">
        <v>89</v>
      </c>
      <c r="E11" s="2" t="s">
        <v>90</v>
      </c>
      <c r="F11" s="2" t="s">
        <v>91</v>
      </c>
      <c r="G11" s="2" t="s">
        <v>92</v>
      </c>
      <c r="H11" s="2" t="s">
        <v>93</v>
      </c>
      <c r="I11" s="2" t="s">
        <v>94</v>
      </c>
      <c r="J11" s="2" t="s">
        <v>95</v>
      </c>
      <c r="K11" s="2" t="s">
        <v>95</v>
      </c>
      <c r="L11" s="6">
        <f t="shared" si="0"/>
        <v>26.770000000000003</v>
      </c>
      <c r="M11" s="6">
        <f t="shared" si="0"/>
        <v>26.770000000000003</v>
      </c>
      <c r="N11" s="2">
        <f t="shared" si="1"/>
        <v>21.670999999999999</v>
      </c>
      <c r="O11" s="9">
        <v>3.4830000000000001</v>
      </c>
      <c r="P11" s="19"/>
      <c r="Q11" s="2" t="s">
        <v>576</v>
      </c>
      <c r="R11" s="2">
        <v>3.18</v>
      </c>
      <c r="S11" s="2">
        <v>5</v>
      </c>
      <c r="T11" s="2">
        <v>1.1479999999999999</v>
      </c>
      <c r="U11" s="2">
        <v>34</v>
      </c>
    </row>
    <row r="12" spans="1:21" ht="21" customHeight="1" x14ac:dyDescent="0.3">
      <c r="A12" s="2" t="s">
        <v>35</v>
      </c>
      <c r="B12" s="2" t="s">
        <v>36</v>
      </c>
      <c r="C12" s="2" t="s">
        <v>96</v>
      </c>
      <c r="D12" s="2" t="s">
        <v>97</v>
      </c>
      <c r="E12" s="2" t="s">
        <v>98</v>
      </c>
      <c r="F12" s="2" t="s">
        <v>99</v>
      </c>
      <c r="G12" s="2" t="s">
        <v>100</v>
      </c>
      <c r="H12" s="2" t="s">
        <v>101</v>
      </c>
      <c r="I12" s="2" t="s">
        <v>78</v>
      </c>
      <c r="J12" s="2" t="s">
        <v>93</v>
      </c>
      <c r="K12" s="2" t="s">
        <v>93</v>
      </c>
      <c r="L12" s="6">
        <f t="shared" si="0"/>
        <v>26.75</v>
      </c>
      <c r="M12" s="6">
        <f t="shared" si="0"/>
        <v>26.75</v>
      </c>
      <c r="N12" s="2">
        <f t="shared" si="1"/>
        <v>21.651</v>
      </c>
      <c r="O12" s="9">
        <v>3.4830000000000001</v>
      </c>
      <c r="P12" s="19"/>
      <c r="Q12" s="2" t="s">
        <v>576</v>
      </c>
      <c r="R12" s="2">
        <v>3.18</v>
      </c>
      <c r="S12" s="2">
        <v>5</v>
      </c>
      <c r="T12" s="2">
        <v>1.1479999999999999</v>
      </c>
      <c r="U12" s="2">
        <v>34</v>
      </c>
    </row>
    <row r="13" spans="1:21" ht="21" customHeight="1" x14ac:dyDescent="0.3">
      <c r="A13" s="2" t="s">
        <v>102</v>
      </c>
      <c r="B13" s="2" t="s">
        <v>45</v>
      </c>
      <c r="C13" s="2" t="s">
        <v>103</v>
      </c>
      <c r="D13" s="2" t="s">
        <v>104</v>
      </c>
      <c r="E13" s="2" t="s">
        <v>105</v>
      </c>
      <c r="F13" s="2" t="s">
        <v>106</v>
      </c>
      <c r="G13" s="2" t="s">
        <v>107</v>
      </c>
      <c r="H13" s="2" t="s">
        <v>22</v>
      </c>
      <c r="I13" s="2" t="s">
        <v>108</v>
      </c>
      <c r="J13" s="2" t="s">
        <v>109</v>
      </c>
      <c r="K13" s="2" t="s">
        <v>109</v>
      </c>
      <c r="L13" s="6">
        <f t="shared" si="0"/>
        <v>26.73</v>
      </c>
      <c r="M13" s="6">
        <f t="shared" si="0"/>
        <v>26.73</v>
      </c>
      <c r="N13" s="2">
        <f t="shared" si="1"/>
        <v>21.631</v>
      </c>
      <c r="O13" s="9">
        <v>3.4830000000000001</v>
      </c>
      <c r="P13" s="19"/>
      <c r="Q13" s="2" t="s">
        <v>576</v>
      </c>
      <c r="R13" s="2">
        <v>3.18</v>
      </c>
      <c r="S13" s="2">
        <v>5</v>
      </c>
      <c r="T13" s="2">
        <v>1.1479999999999999</v>
      </c>
      <c r="U13" s="2">
        <v>34</v>
      </c>
    </row>
    <row r="14" spans="1:21" ht="21" customHeight="1" x14ac:dyDescent="0.3">
      <c r="A14" s="2" t="s">
        <v>110</v>
      </c>
      <c r="B14" s="2" t="s">
        <v>18</v>
      </c>
      <c r="C14" s="2" t="s">
        <v>111</v>
      </c>
      <c r="D14" s="2" t="s">
        <v>89</v>
      </c>
      <c r="E14" s="2" t="s">
        <v>91</v>
      </c>
      <c r="F14" s="2" t="s">
        <v>112</v>
      </c>
      <c r="G14" s="2" t="s">
        <v>113</v>
      </c>
      <c r="H14" s="2" t="s">
        <v>114</v>
      </c>
      <c r="I14" s="2" t="s">
        <v>115</v>
      </c>
      <c r="J14" s="2" t="s">
        <v>115</v>
      </c>
      <c r="K14" s="2" t="s">
        <v>115</v>
      </c>
      <c r="L14" s="6">
        <f t="shared" si="0"/>
        <v>26.69</v>
      </c>
      <c r="M14" s="6">
        <f t="shared" si="0"/>
        <v>26.69</v>
      </c>
      <c r="N14" s="2">
        <f t="shared" si="1"/>
        <v>21.590999999999998</v>
      </c>
      <c r="O14" s="9">
        <v>3.4830000000000001</v>
      </c>
      <c r="P14" s="19"/>
      <c r="Q14" s="2" t="s">
        <v>576</v>
      </c>
      <c r="R14" s="2">
        <v>3.18</v>
      </c>
      <c r="S14" s="2">
        <v>5</v>
      </c>
      <c r="T14" s="2">
        <v>1.1479999999999999</v>
      </c>
      <c r="U14" s="2">
        <v>34</v>
      </c>
    </row>
    <row r="15" spans="1:21" ht="21" customHeight="1" x14ac:dyDescent="0.3">
      <c r="A15" s="2" t="s">
        <v>61</v>
      </c>
      <c r="B15" s="2" t="s">
        <v>62</v>
      </c>
      <c r="C15" s="2" t="s">
        <v>116</v>
      </c>
      <c r="D15" s="2" t="s">
        <v>117</v>
      </c>
      <c r="E15" s="2" t="s">
        <v>91</v>
      </c>
      <c r="F15" s="2" t="s">
        <v>118</v>
      </c>
      <c r="G15" s="2" t="s">
        <v>119</v>
      </c>
      <c r="H15" s="2" t="s">
        <v>120</v>
      </c>
      <c r="I15" s="2" t="s">
        <v>121</v>
      </c>
      <c r="J15" s="2" t="s">
        <v>122</v>
      </c>
      <c r="K15" s="2" t="s">
        <v>122</v>
      </c>
      <c r="L15" s="6">
        <f t="shared" si="0"/>
        <v>26.66</v>
      </c>
      <c r="M15" s="6">
        <f t="shared" si="0"/>
        <v>26.66</v>
      </c>
      <c r="N15" s="2">
        <f t="shared" si="1"/>
        <v>21.561</v>
      </c>
      <c r="O15" s="9">
        <v>3.4830000000000001</v>
      </c>
      <c r="P15" s="19"/>
      <c r="Q15" s="2" t="s">
        <v>576</v>
      </c>
      <c r="R15" s="2">
        <v>3.18</v>
      </c>
      <c r="S15" s="2">
        <v>5</v>
      </c>
      <c r="T15" s="2">
        <v>1.1479999999999999</v>
      </c>
      <c r="U15" s="2">
        <v>34</v>
      </c>
    </row>
    <row r="16" spans="1:21" ht="21" customHeight="1" x14ac:dyDescent="0.3">
      <c r="A16" s="2" t="s">
        <v>123</v>
      </c>
      <c r="B16" s="2" t="s">
        <v>71</v>
      </c>
      <c r="C16" s="2" t="s">
        <v>124</v>
      </c>
      <c r="D16" s="2" t="s">
        <v>91</v>
      </c>
      <c r="E16" s="2" t="s">
        <v>125</v>
      </c>
      <c r="F16" s="2" t="s">
        <v>118</v>
      </c>
      <c r="G16" s="2" t="s">
        <v>126</v>
      </c>
      <c r="H16" s="2" t="s">
        <v>92</v>
      </c>
      <c r="I16" s="2" t="s">
        <v>121</v>
      </c>
      <c r="J16" s="2" t="s">
        <v>127</v>
      </c>
      <c r="K16" s="2" t="s">
        <v>127</v>
      </c>
      <c r="L16" s="6">
        <f t="shared" si="0"/>
        <v>26.64</v>
      </c>
      <c r="M16" s="6">
        <f t="shared" si="0"/>
        <v>26.64</v>
      </c>
      <c r="N16" s="2">
        <f t="shared" si="1"/>
        <v>21.541</v>
      </c>
      <c r="O16" s="9">
        <v>3.4830000000000001</v>
      </c>
      <c r="P16" s="19"/>
      <c r="Q16" s="2" t="s">
        <v>576</v>
      </c>
      <c r="R16" s="2">
        <v>3.18</v>
      </c>
      <c r="S16" s="2">
        <v>5</v>
      </c>
      <c r="T16" s="2">
        <v>1.1479999999999999</v>
      </c>
      <c r="U16" s="2">
        <v>34</v>
      </c>
    </row>
    <row r="17" spans="1:21" ht="21" customHeight="1" x14ac:dyDescent="0.3">
      <c r="A17" s="2" t="s">
        <v>128</v>
      </c>
      <c r="B17" s="2" t="s">
        <v>18</v>
      </c>
      <c r="C17" s="2" t="s">
        <v>129</v>
      </c>
      <c r="D17" s="2" t="s">
        <v>106</v>
      </c>
      <c r="E17" s="2" t="s">
        <v>130</v>
      </c>
      <c r="F17" s="2" t="s">
        <v>131</v>
      </c>
      <c r="G17" s="2" t="s">
        <v>132</v>
      </c>
      <c r="H17" s="2" t="s">
        <v>133</v>
      </c>
      <c r="I17" s="2" t="s">
        <v>13</v>
      </c>
      <c r="J17" s="2" t="s">
        <v>134</v>
      </c>
      <c r="K17" s="2" t="s">
        <v>134</v>
      </c>
      <c r="L17" s="6">
        <f t="shared" si="0"/>
        <v>26.520000000000003</v>
      </c>
      <c r="M17" s="6">
        <f t="shared" si="0"/>
        <v>26.520000000000003</v>
      </c>
      <c r="N17" s="2">
        <f t="shared" si="1"/>
        <v>21.420999999999999</v>
      </c>
      <c r="O17" s="9">
        <v>3.4830000000000001</v>
      </c>
      <c r="P17" s="19"/>
      <c r="Q17" s="2" t="s">
        <v>576</v>
      </c>
      <c r="R17" s="2">
        <v>3.18</v>
      </c>
      <c r="S17" s="2">
        <v>5</v>
      </c>
      <c r="T17" s="2">
        <v>1.1479999999999999</v>
      </c>
      <c r="U17" s="2">
        <v>34</v>
      </c>
    </row>
    <row r="18" spans="1:21" ht="21" customHeight="1" x14ac:dyDescent="0.3">
      <c r="A18" s="2" t="s">
        <v>135</v>
      </c>
      <c r="B18" s="2" t="s">
        <v>18</v>
      </c>
      <c r="C18" s="2" t="s">
        <v>136</v>
      </c>
      <c r="D18" s="2" t="s">
        <v>137</v>
      </c>
      <c r="E18" s="2" t="s">
        <v>138</v>
      </c>
      <c r="F18" s="2" t="s">
        <v>130</v>
      </c>
      <c r="G18" s="2" t="s">
        <v>139</v>
      </c>
      <c r="H18" s="2" t="s">
        <v>140</v>
      </c>
      <c r="I18" s="2" t="s">
        <v>141</v>
      </c>
      <c r="J18" s="2" t="s">
        <v>142</v>
      </c>
      <c r="K18" s="2" t="s">
        <v>142</v>
      </c>
      <c r="L18" s="6">
        <f t="shared" si="0"/>
        <v>26.39</v>
      </c>
      <c r="M18" s="6">
        <f t="shared" si="0"/>
        <v>26.39</v>
      </c>
      <c r="N18" s="2">
        <f t="shared" si="1"/>
        <v>21.291</v>
      </c>
      <c r="O18" s="9">
        <v>3.4830000000000001</v>
      </c>
      <c r="P18" s="19"/>
      <c r="Q18" s="2" t="s">
        <v>576</v>
      </c>
      <c r="R18" s="2">
        <v>3.18</v>
      </c>
      <c r="S18" s="2">
        <v>5</v>
      </c>
      <c r="T18" s="2">
        <v>1.1479999999999999</v>
      </c>
      <c r="U18" s="2">
        <v>34</v>
      </c>
    </row>
    <row r="19" spans="1:21" ht="21" customHeight="1" x14ac:dyDescent="0.3">
      <c r="A19" s="2" t="s">
        <v>35</v>
      </c>
      <c r="B19" s="2" t="s">
        <v>36</v>
      </c>
      <c r="C19" s="2" t="s">
        <v>143</v>
      </c>
      <c r="D19" s="2" t="s">
        <v>144</v>
      </c>
      <c r="E19" s="2" t="s">
        <v>145</v>
      </c>
      <c r="F19" s="2" t="s">
        <v>146</v>
      </c>
      <c r="G19" s="2" t="s">
        <v>147</v>
      </c>
      <c r="H19" s="2" t="s">
        <v>147</v>
      </c>
      <c r="I19" s="2" t="s">
        <v>148</v>
      </c>
      <c r="J19" s="2" t="s">
        <v>149</v>
      </c>
      <c r="K19" s="2" t="s">
        <v>149</v>
      </c>
      <c r="L19" s="6">
        <f t="shared" si="0"/>
        <v>26.35</v>
      </c>
      <c r="M19" s="6">
        <f t="shared" si="0"/>
        <v>26.35</v>
      </c>
      <c r="N19" s="2">
        <f t="shared" si="1"/>
        <v>21.250999999999998</v>
      </c>
      <c r="O19" s="9">
        <v>3.4830000000000001</v>
      </c>
      <c r="P19" s="19"/>
      <c r="Q19" s="2" t="s">
        <v>576</v>
      </c>
      <c r="R19" s="2">
        <v>3.18</v>
      </c>
      <c r="S19" s="2">
        <v>5</v>
      </c>
      <c r="T19" s="2">
        <v>1.1479999999999999</v>
      </c>
      <c r="U19" s="2">
        <v>34</v>
      </c>
    </row>
    <row r="20" spans="1:21" ht="21" customHeight="1" x14ac:dyDescent="0.3">
      <c r="A20" s="2" t="s">
        <v>150</v>
      </c>
      <c r="B20" s="2" t="s">
        <v>45</v>
      </c>
      <c r="C20" s="2" t="s">
        <v>151</v>
      </c>
      <c r="D20" s="2" t="s">
        <v>118</v>
      </c>
      <c r="E20" s="2" t="s">
        <v>152</v>
      </c>
      <c r="F20" s="2" t="s">
        <v>153</v>
      </c>
      <c r="G20" s="2" t="s">
        <v>154</v>
      </c>
      <c r="H20" s="2" t="s">
        <v>155</v>
      </c>
      <c r="I20" s="2" t="s">
        <v>156</v>
      </c>
      <c r="J20" s="2" t="s">
        <v>49</v>
      </c>
      <c r="K20" s="2" t="s">
        <v>49</v>
      </c>
      <c r="L20" s="6">
        <f t="shared" si="0"/>
        <v>26.330000000000002</v>
      </c>
      <c r="M20" s="6">
        <f t="shared" si="0"/>
        <v>26.330000000000002</v>
      </c>
      <c r="N20" s="2">
        <f t="shared" si="1"/>
        <v>21.230999999999998</v>
      </c>
      <c r="O20" s="9">
        <v>3.4830000000000001</v>
      </c>
      <c r="P20" s="19"/>
      <c r="Q20" s="2" t="s">
        <v>576</v>
      </c>
      <c r="R20" s="2">
        <v>3.18</v>
      </c>
      <c r="S20" s="2">
        <v>5</v>
      </c>
      <c r="T20" s="2">
        <v>1.1479999999999999</v>
      </c>
      <c r="U20" s="2">
        <v>34</v>
      </c>
    </row>
    <row r="21" spans="1:21" ht="21" customHeight="1" x14ac:dyDescent="0.3">
      <c r="A21" s="2" t="s">
        <v>157</v>
      </c>
      <c r="B21" s="2" t="s">
        <v>18</v>
      </c>
      <c r="C21" s="2" t="s">
        <v>158</v>
      </c>
      <c r="D21" s="2" t="s">
        <v>130</v>
      </c>
      <c r="E21" s="2" t="s">
        <v>159</v>
      </c>
      <c r="F21" s="2" t="s">
        <v>160</v>
      </c>
      <c r="G21" s="2" t="s">
        <v>161</v>
      </c>
      <c r="H21" s="2" t="s">
        <v>161</v>
      </c>
      <c r="I21" s="2" t="s">
        <v>13</v>
      </c>
      <c r="J21" s="2" t="s">
        <v>162</v>
      </c>
      <c r="K21" s="2" t="s">
        <v>162</v>
      </c>
      <c r="L21" s="6">
        <f t="shared" si="0"/>
        <v>26.3</v>
      </c>
      <c r="M21" s="6">
        <f t="shared" si="0"/>
        <v>26.3</v>
      </c>
      <c r="N21" s="2">
        <f t="shared" si="1"/>
        <v>21.201000000000001</v>
      </c>
      <c r="O21" s="9">
        <v>3.4830000000000001</v>
      </c>
      <c r="P21" s="19"/>
      <c r="Q21" s="2" t="s">
        <v>576</v>
      </c>
      <c r="R21" s="2">
        <v>3.18</v>
      </c>
      <c r="S21" s="2">
        <v>5</v>
      </c>
      <c r="T21" s="2">
        <v>1.1479999999999999</v>
      </c>
      <c r="U21" s="2">
        <v>34</v>
      </c>
    </row>
    <row r="22" spans="1:21" ht="21" customHeight="1" x14ac:dyDescent="0.3">
      <c r="A22" s="2" t="s">
        <v>61</v>
      </c>
      <c r="B22" s="2" t="s">
        <v>62</v>
      </c>
      <c r="C22" s="2" t="s">
        <v>163</v>
      </c>
      <c r="D22" s="2" t="s">
        <v>164</v>
      </c>
      <c r="E22" s="2" t="s">
        <v>165</v>
      </c>
      <c r="F22" s="2" t="s">
        <v>166</v>
      </c>
      <c r="G22" s="2" t="s">
        <v>167</v>
      </c>
      <c r="H22" s="2" t="s">
        <v>168</v>
      </c>
      <c r="I22" s="2" t="s">
        <v>34</v>
      </c>
      <c r="J22" s="2" t="s">
        <v>169</v>
      </c>
      <c r="K22" s="2" t="s">
        <v>169</v>
      </c>
      <c r="L22" s="6">
        <f t="shared" si="0"/>
        <v>26.270000000000003</v>
      </c>
      <c r="M22" s="6">
        <f t="shared" si="0"/>
        <v>26.270000000000003</v>
      </c>
      <c r="N22" s="2">
        <f t="shared" si="1"/>
        <v>21.170999999999999</v>
      </c>
      <c r="O22" s="9">
        <v>3.4830000000000001</v>
      </c>
      <c r="P22" s="19"/>
      <c r="Q22" s="2" t="s">
        <v>576</v>
      </c>
      <c r="R22" s="2">
        <v>3.18</v>
      </c>
      <c r="S22" s="2">
        <v>5</v>
      </c>
      <c r="T22" s="2">
        <v>1.1479999999999999</v>
      </c>
      <c r="U22" s="2">
        <v>34</v>
      </c>
    </row>
    <row r="23" spans="1:21" ht="21" customHeight="1" x14ac:dyDescent="0.3">
      <c r="A23" s="2" t="s">
        <v>170</v>
      </c>
      <c r="B23" s="2" t="s">
        <v>71</v>
      </c>
      <c r="C23" s="2" t="s">
        <v>171</v>
      </c>
      <c r="D23" s="2" t="s">
        <v>165</v>
      </c>
      <c r="E23" s="2" t="s">
        <v>118</v>
      </c>
      <c r="F23" s="2" t="s">
        <v>172</v>
      </c>
      <c r="G23" s="2" t="s">
        <v>173</v>
      </c>
      <c r="H23" s="2" t="s">
        <v>174</v>
      </c>
      <c r="I23" s="2" t="s">
        <v>175</v>
      </c>
      <c r="J23" s="2" t="s">
        <v>67</v>
      </c>
      <c r="K23" s="2" t="s">
        <v>67</v>
      </c>
      <c r="L23" s="6">
        <f t="shared" si="0"/>
        <v>26.26</v>
      </c>
      <c r="M23" s="6">
        <f t="shared" si="0"/>
        <v>26.26</v>
      </c>
      <c r="N23" s="2">
        <f t="shared" si="1"/>
        <v>21.160999999999998</v>
      </c>
      <c r="O23" s="9">
        <v>3.4830000000000001</v>
      </c>
      <c r="P23" s="19"/>
      <c r="Q23" s="2" t="s">
        <v>576</v>
      </c>
      <c r="R23" s="2">
        <v>3.18</v>
      </c>
      <c r="S23" s="2">
        <v>5</v>
      </c>
      <c r="T23" s="2">
        <v>1.1479999999999999</v>
      </c>
      <c r="U23" s="2">
        <v>34</v>
      </c>
    </row>
    <row r="24" spans="1:21" ht="21" customHeight="1" x14ac:dyDescent="0.3">
      <c r="A24" s="2" t="s">
        <v>176</v>
      </c>
      <c r="B24" s="2" t="s">
        <v>18</v>
      </c>
      <c r="C24" s="2" t="s">
        <v>177</v>
      </c>
      <c r="D24" s="2" t="s">
        <v>178</v>
      </c>
      <c r="E24" s="2" t="s">
        <v>179</v>
      </c>
      <c r="F24" s="2" t="s">
        <v>180</v>
      </c>
      <c r="G24" s="2" t="s">
        <v>181</v>
      </c>
      <c r="H24" s="2" t="s">
        <v>182</v>
      </c>
      <c r="I24" s="2" t="s">
        <v>183</v>
      </c>
      <c r="J24" s="2" t="s">
        <v>184</v>
      </c>
      <c r="K24" s="2" t="s">
        <v>184</v>
      </c>
      <c r="L24" s="6">
        <f t="shared" si="0"/>
        <v>26.16</v>
      </c>
      <c r="M24" s="6">
        <f t="shared" si="0"/>
        <v>26.16</v>
      </c>
      <c r="N24" s="2">
        <f t="shared" si="1"/>
        <v>21.061</v>
      </c>
      <c r="O24" s="9">
        <v>3.4830000000000001</v>
      </c>
      <c r="P24" s="19"/>
      <c r="Q24" s="2" t="s">
        <v>576</v>
      </c>
      <c r="R24" s="2">
        <v>3.18</v>
      </c>
      <c r="S24" s="2">
        <v>5</v>
      </c>
      <c r="T24" s="2">
        <v>1.1479999999999999</v>
      </c>
      <c r="U24" s="2">
        <v>34</v>
      </c>
    </row>
    <row r="25" spans="1:21" ht="21" customHeight="1" x14ac:dyDescent="0.3">
      <c r="A25" s="2" t="s">
        <v>185</v>
      </c>
      <c r="B25" s="2" t="s">
        <v>18</v>
      </c>
      <c r="C25" s="2" t="s">
        <v>186</v>
      </c>
      <c r="D25" s="2" t="s">
        <v>187</v>
      </c>
      <c r="E25" s="2" t="s">
        <v>188</v>
      </c>
      <c r="F25" s="2" t="s">
        <v>189</v>
      </c>
      <c r="G25" s="2" t="s">
        <v>190</v>
      </c>
      <c r="H25" s="2" t="s">
        <v>191</v>
      </c>
      <c r="I25" s="2" t="s">
        <v>192</v>
      </c>
      <c r="J25" s="2" t="s">
        <v>119</v>
      </c>
      <c r="K25" s="2" t="s">
        <v>119</v>
      </c>
      <c r="L25" s="6">
        <f t="shared" si="0"/>
        <v>26.060000000000002</v>
      </c>
      <c r="M25" s="6">
        <f t="shared" si="0"/>
        <v>26.060000000000002</v>
      </c>
      <c r="N25" s="2">
        <f t="shared" si="1"/>
        <v>20.960999999999999</v>
      </c>
      <c r="O25" s="9">
        <v>3.4830000000000001</v>
      </c>
      <c r="P25" s="19"/>
      <c r="Q25" s="2" t="s">
        <v>576</v>
      </c>
      <c r="R25" s="2">
        <v>3.18</v>
      </c>
      <c r="S25" s="2">
        <v>5</v>
      </c>
      <c r="T25" s="2">
        <v>1.1479999999999999</v>
      </c>
      <c r="U25" s="2">
        <v>34</v>
      </c>
    </row>
    <row r="26" spans="1:21" ht="21" customHeight="1" x14ac:dyDescent="0.3">
      <c r="A26" s="2" t="s">
        <v>35</v>
      </c>
      <c r="B26" s="2" t="s">
        <v>36</v>
      </c>
      <c r="C26" s="2" t="s">
        <v>193</v>
      </c>
      <c r="D26" s="2" t="s">
        <v>179</v>
      </c>
      <c r="E26" s="2" t="s">
        <v>194</v>
      </c>
      <c r="F26" s="2" t="s">
        <v>195</v>
      </c>
      <c r="G26" s="2" t="s">
        <v>196</v>
      </c>
      <c r="H26" s="2" t="s">
        <v>161</v>
      </c>
      <c r="I26" s="2" t="s">
        <v>197</v>
      </c>
      <c r="J26" s="2" t="s">
        <v>198</v>
      </c>
      <c r="K26" s="2" t="s">
        <v>198</v>
      </c>
      <c r="L26" s="6">
        <f t="shared" si="0"/>
        <v>26.03</v>
      </c>
      <c r="M26" s="6">
        <f t="shared" si="0"/>
        <v>26.03</v>
      </c>
      <c r="N26" s="2">
        <f t="shared" si="1"/>
        <v>20.930999999999997</v>
      </c>
      <c r="O26" s="9">
        <v>3.4830000000000001</v>
      </c>
      <c r="P26" s="19"/>
      <c r="Q26" s="2" t="s">
        <v>576</v>
      </c>
      <c r="R26" s="2">
        <v>3.18</v>
      </c>
      <c r="S26" s="2">
        <v>5</v>
      </c>
      <c r="T26" s="2">
        <v>1.1479999999999999</v>
      </c>
      <c r="U26" s="2">
        <v>34</v>
      </c>
    </row>
    <row r="27" spans="1:21" ht="21" customHeight="1" x14ac:dyDescent="0.3">
      <c r="A27" s="2" t="s">
        <v>199</v>
      </c>
      <c r="B27" s="2" t="s">
        <v>45</v>
      </c>
      <c r="C27" s="2" t="s">
        <v>200</v>
      </c>
      <c r="D27" s="2" t="s">
        <v>159</v>
      </c>
      <c r="E27" s="2" t="s">
        <v>201</v>
      </c>
      <c r="F27" s="2" t="s">
        <v>202</v>
      </c>
      <c r="G27" s="2" t="s">
        <v>203</v>
      </c>
      <c r="H27" s="2" t="s">
        <v>204</v>
      </c>
      <c r="I27" s="2" t="s">
        <v>205</v>
      </c>
      <c r="J27" s="2" t="s">
        <v>206</v>
      </c>
      <c r="K27" s="2" t="s">
        <v>206</v>
      </c>
      <c r="L27" s="6">
        <f t="shared" si="0"/>
        <v>26.630000000000003</v>
      </c>
      <c r="M27" s="6">
        <f t="shared" si="0"/>
        <v>26.630000000000003</v>
      </c>
      <c r="N27" s="2">
        <f t="shared" si="1"/>
        <v>20.861000000000001</v>
      </c>
      <c r="O27" s="9">
        <v>2.4809999999999999</v>
      </c>
      <c r="P27" s="19"/>
      <c r="Q27" s="2" t="s">
        <v>576</v>
      </c>
      <c r="R27" s="2">
        <v>3.18</v>
      </c>
      <c r="S27" s="2">
        <v>5</v>
      </c>
      <c r="T27" s="2">
        <v>1.1479999999999999</v>
      </c>
      <c r="U27" s="2">
        <v>34</v>
      </c>
    </row>
    <row r="28" spans="1:21" ht="21" customHeight="1" x14ac:dyDescent="0.3">
      <c r="A28" s="2" t="s">
        <v>207</v>
      </c>
      <c r="B28" s="2" t="s">
        <v>208</v>
      </c>
      <c r="C28" s="2" t="s">
        <v>209</v>
      </c>
      <c r="D28" s="2" t="s">
        <v>152</v>
      </c>
      <c r="E28" s="2" t="s">
        <v>152</v>
      </c>
      <c r="F28" s="2" t="s">
        <v>152</v>
      </c>
      <c r="G28" s="2" t="s">
        <v>210</v>
      </c>
      <c r="H28" s="2" t="s">
        <v>211</v>
      </c>
      <c r="I28" s="2" t="s">
        <v>211</v>
      </c>
      <c r="J28" s="2" t="s">
        <v>211</v>
      </c>
      <c r="K28" s="2" t="s">
        <v>211</v>
      </c>
      <c r="L28" s="6">
        <f t="shared" si="0"/>
        <v>27.51</v>
      </c>
      <c r="M28" s="6">
        <f t="shared" si="0"/>
        <v>27.51</v>
      </c>
      <c r="N28" s="15"/>
      <c r="O28" s="18"/>
      <c r="P28" s="18"/>
      <c r="Q28" s="15" t="s">
        <v>575</v>
      </c>
      <c r="R28" s="16"/>
      <c r="S28" s="16"/>
      <c r="T28" s="16"/>
      <c r="U28" s="16"/>
    </row>
    <row r="29" spans="1:21" ht="21" customHeight="1" x14ac:dyDescent="0.3">
      <c r="A29" s="2" t="s">
        <v>212</v>
      </c>
      <c r="B29" s="2" t="s">
        <v>213</v>
      </c>
      <c r="C29" s="2" t="s">
        <v>214</v>
      </c>
      <c r="D29" s="2" t="s">
        <v>215</v>
      </c>
      <c r="E29" s="2" t="s">
        <v>215</v>
      </c>
      <c r="F29" s="2" t="s">
        <v>215</v>
      </c>
      <c r="G29" s="2" t="s">
        <v>216</v>
      </c>
      <c r="H29" s="2" t="s">
        <v>24</v>
      </c>
      <c r="I29" s="2" t="s">
        <v>24</v>
      </c>
      <c r="J29" s="2" t="s">
        <v>24</v>
      </c>
      <c r="K29" s="2" t="s">
        <v>24</v>
      </c>
      <c r="L29" s="6">
        <f t="shared" si="0"/>
        <v>27.490000000000002</v>
      </c>
      <c r="M29" s="6">
        <f t="shared" si="0"/>
        <v>27.490000000000002</v>
      </c>
      <c r="N29" s="15"/>
      <c r="O29" s="18"/>
      <c r="P29" s="18"/>
      <c r="Q29" s="15" t="s">
        <v>575</v>
      </c>
      <c r="R29" s="16"/>
      <c r="S29" s="16"/>
      <c r="T29" s="16"/>
      <c r="U29" s="16"/>
    </row>
    <row r="30" spans="1:21" ht="21" customHeight="1" x14ac:dyDescent="0.3">
      <c r="A30" s="2" t="s">
        <v>217</v>
      </c>
      <c r="B30" s="2" t="s">
        <v>18</v>
      </c>
      <c r="C30" s="2" t="s">
        <v>218</v>
      </c>
      <c r="D30" s="2" t="s">
        <v>219</v>
      </c>
      <c r="E30" s="2" t="s">
        <v>219</v>
      </c>
      <c r="F30" s="2" t="s">
        <v>219</v>
      </c>
      <c r="G30" s="2" t="s">
        <v>220</v>
      </c>
      <c r="H30" s="2" t="s">
        <v>221</v>
      </c>
      <c r="I30" s="2" t="s">
        <v>221</v>
      </c>
      <c r="J30" s="2" t="s">
        <v>222</v>
      </c>
      <c r="K30" s="2" t="s">
        <v>222</v>
      </c>
      <c r="L30" s="6">
        <f t="shared" si="0"/>
        <v>27.360000000000003</v>
      </c>
      <c r="M30" s="6">
        <f t="shared" si="0"/>
        <v>27.360000000000003</v>
      </c>
      <c r="N30" s="15"/>
      <c r="O30" s="18"/>
      <c r="P30" s="18"/>
      <c r="Q30" s="15" t="s">
        <v>575</v>
      </c>
      <c r="R30" s="16"/>
      <c r="S30" s="16"/>
      <c r="T30" s="16"/>
      <c r="U30" s="16"/>
    </row>
    <row r="31" spans="1:21" ht="21" customHeight="1" x14ac:dyDescent="0.3">
      <c r="A31" s="2" t="s">
        <v>61</v>
      </c>
      <c r="B31" s="2" t="s">
        <v>62</v>
      </c>
      <c r="C31" s="2" t="s">
        <v>223</v>
      </c>
      <c r="D31" s="2" t="s">
        <v>224</v>
      </c>
      <c r="E31" s="2" t="s">
        <v>224</v>
      </c>
      <c r="F31" s="2" t="s">
        <v>224</v>
      </c>
      <c r="G31" s="2" t="s">
        <v>225</v>
      </c>
      <c r="H31" s="2" t="s">
        <v>16</v>
      </c>
      <c r="I31" s="2" t="s">
        <v>16</v>
      </c>
      <c r="J31" s="6">
        <v>27.65</v>
      </c>
      <c r="K31" s="8">
        <v>27.5</v>
      </c>
      <c r="L31" s="6">
        <f t="shared" si="0"/>
        <v>27.25</v>
      </c>
      <c r="M31" s="8">
        <f t="shared" si="0"/>
        <v>27.1</v>
      </c>
      <c r="N31" s="15"/>
      <c r="O31" s="18"/>
      <c r="P31" s="18"/>
      <c r="Q31" s="15" t="s">
        <v>575</v>
      </c>
      <c r="R31" s="16"/>
      <c r="S31" s="16"/>
      <c r="T31" s="16"/>
      <c r="U31" s="16"/>
    </row>
    <row r="32" spans="1:21" ht="21" customHeight="1" x14ac:dyDescent="0.3">
      <c r="A32" s="2" t="s">
        <v>226</v>
      </c>
      <c r="B32" s="2" t="s">
        <v>71</v>
      </c>
      <c r="C32" s="2" t="s">
        <v>227</v>
      </c>
      <c r="D32" s="2" t="s">
        <v>228</v>
      </c>
      <c r="E32" s="2" t="s">
        <v>228</v>
      </c>
      <c r="F32" s="2" t="s">
        <v>228</v>
      </c>
      <c r="G32" s="2" t="s">
        <v>19</v>
      </c>
      <c r="H32" s="2" t="s">
        <v>229</v>
      </c>
      <c r="I32" s="2" t="s">
        <v>31</v>
      </c>
      <c r="J32" s="6">
        <v>27.5</v>
      </c>
      <c r="K32" s="8">
        <v>26.9</v>
      </c>
      <c r="L32" s="6">
        <f t="shared" si="0"/>
        <v>27.1</v>
      </c>
      <c r="M32" s="8">
        <f t="shared" si="0"/>
        <v>26.5</v>
      </c>
      <c r="N32" s="15"/>
      <c r="O32" s="18"/>
      <c r="P32" s="18"/>
      <c r="Q32" s="15" t="s">
        <v>575</v>
      </c>
      <c r="R32" s="16"/>
      <c r="S32" s="16"/>
      <c r="T32" s="16"/>
      <c r="U32" s="16"/>
    </row>
    <row r="33" spans="1:21" ht="21" customHeight="1" x14ac:dyDescent="0.3">
      <c r="A33" s="2" t="s">
        <v>230</v>
      </c>
      <c r="B33" s="2" t="s">
        <v>18</v>
      </c>
      <c r="C33" s="2" t="s">
        <v>231</v>
      </c>
      <c r="D33" s="2" t="s">
        <v>172</v>
      </c>
      <c r="E33" s="2" t="s">
        <v>166</v>
      </c>
      <c r="F33" s="2" t="s">
        <v>232</v>
      </c>
      <c r="G33" s="2" t="s">
        <v>233</v>
      </c>
      <c r="H33" s="2" t="s">
        <v>234</v>
      </c>
      <c r="I33" s="2" t="s">
        <v>235</v>
      </c>
      <c r="J33" s="6">
        <v>26.5</v>
      </c>
      <c r="K33" s="8">
        <v>26.27</v>
      </c>
      <c r="L33" s="6">
        <f t="shared" si="0"/>
        <v>26.1</v>
      </c>
      <c r="M33" s="8">
        <f t="shared" si="0"/>
        <v>25.87</v>
      </c>
      <c r="N33" s="2">
        <f t="shared" ref="N33:N38" si="2">G33-4.899</f>
        <v>20.410999999999998</v>
      </c>
      <c r="O33" s="9">
        <v>2.7730000000000001</v>
      </c>
      <c r="P33" s="9">
        <v>2.8450000000000002</v>
      </c>
      <c r="Q33" s="2" t="s">
        <v>577</v>
      </c>
      <c r="R33" s="2">
        <v>3.18</v>
      </c>
      <c r="S33" s="2">
        <v>5</v>
      </c>
      <c r="T33" s="2">
        <v>1.1479999999999999</v>
      </c>
      <c r="U33" s="2">
        <v>34</v>
      </c>
    </row>
    <row r="34" spans="1:21" ht="21" customHeight="1" x14ac:dyDescent="0.3">
      <c r="A34" s="2" t="s">
        <v>35</v>
      </c>
      <c r="B34" s="2" t="s">
        <v>36</v>
      </c>
      <c r="C34" s="2" t="s">
        <v>237</v>
      </c>
      <c r="D34" s="2" t="s">
        <v>172</v>
      </c>
      <c r="E34" s="2" t="s">
        <v>238</v>
      </c>
      <c r="F34" s="2" t="s">
        <v>239</v>
      </c>
      <c r="G34" s="2" t="s">
        <v>240</v>
      </c>
      <c r="H34" s="2" t="s">
        <v>241</v>
      </c>
      <c r="I34" s="2" t="s">
        <v>242</v>
      </c>
      <c r="J34" s="6">
        <v>26.15</v>
      </c>
      <c r="K34" s="8">
        <v>26.05</v>
      </c>
      <c r="L34" s="6">
        <f t="shared" si="0"/>
        <v>25.75</v>
      </c>
      <c r="M34" s="8">
        <f t="shared" si="0"/>
        <v>25.650000000000002</v>
      </c>
      <c r="N34" s="2">
        <f t="shared" si="2"/>
        <v>20.390999999999998</v>
      </c>
      <c r="O34" s="9">
        <v>3.0750000000000002</v>
      </c>
      <c r="P34" s="9">
        <v>3.2559999999999998</v>
      </c>
      <c r="Q34" s="2" t="s">
        <v>577</v>
      </c>
      <c r="R34" s="2">
        <v>3.18</v>
      </c>
      <c r="S34" s="2">
        <v>5</v>
      </c>
      <c r="T34" s="2">
        <v>1.1479999999999999</v>
      </c>
      <c r="U34" s="2">
        <v>34</v>
      </c>
    </row>
    <row r="35" spans="1:21" ht="21" customHeight="1" x14ac:dyDescent="0.3">
      <c r="A35" s="2" t="s">
        <v>243</v>
      </c>
      <c r="B35" s="2" t="s">
        <v>45</v>
      </c>
      <c r="C35" s="2" t="s">
        <v>244</v>
      </c>
      <c r="D35" s="2" t="s">
        <v>232</v>
      </c>
      <c r="E35" s="2" t="s">
        <v>180</v>
      </c>
      <c r="F35" s="2" t="s">
        <v>245</v>
      </c>
      <c r="G35" s="2" t="s">
        <v>246</v>
      </c>
      <c r="H35" s="2" t="s">
        <v>247</v>
      </c>
      <c r="I35" s="2" t="s">
        <v>248</v>
      </c>
      <c r="J35" s="2" t="s">
        <v>249</v>
      </c>
      <c r="K35" s="2" t="s">
        <v>249</v>
      </c>
      <c r="L35" s="6">
        <f t="shared" si="0"/>
        <v>25.44</v>
      </c>
      <c r="M35" s="6">
        <f t="shared" si="0"/>
        <v>25.44</v>
      </c>
      <c r="N35" s="2">
        <f t="shared" si="2"/>
        <v>20.340999999999998</v>
      </c>
      <c r="O35" s="9">
        <v>3.3149999999999999</v>
      </c>
      <c r="P35" s="9">
        <v>3.3149999999999999</v>
      </c>
      <c r="Q35" s="2" t="s">
        <v>577</v>
      </c>
      <c r="R35" s="2">
        <v>3.18</v>
      </c>
      <c r="S35" s="2">
        <v>5</v>
      </c>
      <c r="T35" s="2">
        <v>1.1479999999999999</v>
      </c>
      <c r="U35" s="2">
        <v>34</v>
      </c>
    </row>
    <row r="36" spans="1:21" ht="21" customHeight="1" x14ac:dyDescent="0.3">
      <c r="A36" s="2" t="s">
        <v>250</v>
      </c>
      <c r="B36" s="2" t="s">
        <v>18</v>
      </c>
      <c r="C36" s="2" t="s">
        <v>251</v>
      </c>
      <c r="D36" s="2" t="s">
        <v>252</v>
      </c>
      <c r="E36" s="2" t="s">
        <v>253</v>
      </c>
      <c r="F36" s="2" t="s">
        <v>254</v>
      </c>
      <c r="G36" s="2" t="s">
        <v>255</v>
      </c>
      <c r="H36" s="2" t="s">
        <v>256</v>
      </c>
      <c r="I36" s="2" t="s">
        <v>257</v>
      </c>
      <c r="J36" s="2" t="s">
        <v>203</v>
      </c>
      <c r="K36" s="2" t="s">
        <v>203</v>
      </c>
      <c r="L36" s="6">
        <f t="shared" si="0"/>
        <v>25.360000000000003</v>
      </c>
      <c r="M36" s="6">
        <f t="shared" si="0"/>
        <v>25.360000000000003</v>
      </c>
      <c r="N36" s="2">
        <f t="shared" si="2"/>
        <v>20.260999999999999</v>
      </c>
      <c r="O36" s="9">
        <v>3.3149999999999999</v>
      </c>
      <c r="P36" s="9">
        <v>3.3149999999999999</v>
      </c>
      <c r="Q36" s="2" t="s">
        <v>577</v>
      </c>
      <c r="R36" s="2">
        <v>3.18</v>
      </c>
      <c r="S36" s="2">
        <v>5</v>
      </c>
      <c r="T36" s="2">
        <v>1.1479999999999999</v>
      </c>
      <c r="U36" s="2">
        <v>34</v>
      </c>
    </row>
    <row r="37" spans="1:21" ht="21" customHeight="1" x14ac:dyDescent="0.3">
      <c r="A37" s="2" t="s">
        <v>61</v>
      </c>
      <c r="B37" s="2" t="s">
        <v>62</v>
      </c>
      <c r="C37" s="2" t="s">
        <v>258</v>
      </c>
      <c r="D37" s="2" t="s">
        <v>259</v>
      </c>
      <c r="E37" s="2" t="s">
        <v>260</v>
      </c>
      <c r="F37" s="2" t="s">
        <v>261</v>
      </c>
      <c r="G37" s="2" t="s">
        <v>28</v>
      </c>
      <c r="H37" s="2" t="s">
        <v>262</v>
      </c>
      <c r="I37" s="2" t="s">
        <v>263</v>
      </c>
      <c r="J37" s="2" t="s">
        <v>264</v>
      </c>
      <c r="K37" s="2" t="s">
        <v>264</v>
      </c>
      <c r="L37" s="6">
        <f t="shared" si="0"/>
        <v>25.290000000000003</v>
      </c>
      <c r="M37" s="6">
        <f t="shared" si="0"/>
        <v>25.290000000000003</v>
      </c>
      <c r="N37" s="2">
        <f t="shared" si="2"/>
        <v>20.190999999999999</v>
      </c>
      <c r="O37" s="9">
        <v>3.3149999999999999</v>
      </c>
      <c r="P37" s="19"/>
      <c r="Q37" s="2" t="s">
        <v>576</v>
      </c>
      <c r="R37" s="2">
        <v>3.18</v>
      </c>
      <c r="S37" s="2">
        <v>5</v>
      </c>
      <c r="T37" s="2">
        <v>1.1479999999999999</v>
      </c>
      <c r="U37" s="2">
        <v>34</v>
      </c>
    </row>
    <row r="38" spans="1:21" ht="21" customHeight="1" x14ac:dyDescent="0.3">
      <c r="A38" s="2" t="s">
        <v>265</v>
      </c>
      <c r="B38" s="2" t="s">
        <v>71</v>
      </c>
      <c r="C38" s="2" t="s">
        <v>266</v>
      </c>
      <c r="D38" s="2" t="s">
        <v>267</v>
      </c>
      <c r="E38" s="2" t="s">
        <v>268</v>
      </c>
      <c r="F38" s="2" t="s">
        <v>267</v>
      </c>
      <c r="G38" s="2" t="s">
        <v>269</v>
      </c>
      <c r="H38" s="2" t="s">
        <v>270</v>
      </c>
      <c r="I38" s="2" t="s">
        <v>271</v>
      </c>
      <c r="J38" s="2" t="s">
        <v>272</v>
      </c>
      <c r="K38" s="2" t="s">
        <v>272</v>
      </c>
      <c r="L38" s="6">
        <f t="shared" si="0"/>
        <v>25.28</v>
      </c>
      <c r="M38" s="6">
        <f t="shared" si="0"/>
        <v>25.28</v>
      </c>
      <c r="N38" s="2">
        <f t="shared" si="2"/>
        <v>20.180999999999997</v>
      </c>
      <c r="O38" s="19"/>
      <c r="P38" s="19"/>
      <c r="Q38" s="2" t="s">
        <v>576</v>
      </c>
      <c r="R38" s="2">
        <v>3.18</v>
      </c>
      <c r="S38" s="2">
        <v>5</v>
      </c>
      <c r="T38" s="2">
        <v>1.1479999999999999</v>
      </c>
      <c r="U38" s="2">
        <v>34</v>
      </c>
    </row>
    <row r="39" spans="1:21" ht="21" customHeight="1" x14ac:dyDescent="0.3">
      <c r="A39" s="2" t="s">
        <v>273</v>
      </c>
      <c r="B39" s="2" t="s">
        <v>274</v>
      </c>
      <c r="C39" s="2" t="s">
        <v>275</v>
      </c>
      <c r="D39" s="2" t="s">
        <v>268</v>
      </c>
      <c r="E39" s="2" t="s">
        <v>276</v>
      </c>
      <c r="F39" s="2" t="s">
        <v>277</v>
      </c>
      <c r="G39" s="2" t="s">
        <v>262</v>
      </c>
      <c r="H39" s="2" t="s">
        <v>134</v>
      </c>
      <c r="I39" s="2" t="s">
        <v>134</v>
      </c>
      <c r="J39" s="2" t="s">
        <v>210</v>
      </c>
      <c r="K39" s="2" t="s">
        <v>210</v>
      </c>
      <c r="L39" s="6">
        <f t="shared" si="0"/>
        <v>25.270000000000003</v>
      </c>
      <c r="M39" s="6">
        <f t="shared" si="0"/>
        <v>25.270000000000003</v>
      </c>
      <c r="N39" s="15"/>
      <c r="O39" s="18"/>
      <c r="P39" s="18"/>
      <c r="Q39" s="15" t="s">
        <v>575</v>
      </c>
      <c r="R39" s="16"/>
      <c r="S39" s="16"/>
      <c r="T39" s="16"/>
      <c r="U39" s="16"/>
    </row>
    <row r="40" spans="1:21" ht="21" customHeight="1" x14ac:dyDescent="0.3">
      <c r="A40" s="2" t="s">
        <v>278</v>
      </c>
      <c r="B40" s="2" t="s">
        <v>279</v>
      </c>
      <c r="C40" s="2" t="s">
        <v>280</v>
      </c>
      <c r="D40" s="2" t="s">
        <v>281</v>
      </c>
      <c r="E40" s="2" t="s">
        <v>277</v>
      </c>
      <c r="F40" s="2" t="s">
        <v>277</v>
      </c>
      <c r="G40" s="2" t="s">
        <v>262</v>
      </c>
      <c r="H40" s="2" t="s">
        <v>134</v>
      </c>
      <c r="I40" s="2" t="s">
        <v>134</v>
      </c>
      <c r="J40" s="2" t="s">
        <v>210</v>
      </c>
      <c r="K40" s="2" t="s">
        <v>210</v>
      </c>
      <c r="L40" s="6">
        <f t="shared" si="0"/>
        <v>25.270000000000003</v>
      </c>
      <c r="M40" s="6">
        <f t="shared" si="0"/>
        <v>25.270000000000003</v>
      </c>
      <c r="N40" s="15"/>
      <c r="O40" s="18"/>
      <c r="P40" s="18"/>
      <c r="Q40" s="15" t="s">
        <v>575</v>
      </c>
      <c r="R40" s="16"/>
      <c r="S40" s="16"/>
      <c r="T40" s="16"/>
      <c r="U40" s="16"/>
    </row>
    <row r="41" spans="1:21" ht="21" customHeight="1" x14ac:dyDescent="0.3">
      <c r="A41" s="2" t="s">
        <v>282</v>
      </c>
      <c r="B41" s="2" t="s">
        <v>283</v>
      </c>
      <c r="C41" s="2" t="s">
        <v>284</v>
      </c>
      <c r="D41" s="2" t="s">
        <v>285</v>
      </c>
      <c r="E41" s="2" t="s">
        <v>286</v>
      </c>
      <c r="F41" s="2" t="s">
        <v>287</v>
      </c>
      <c r="G41" s="2" t="s">
        <v>288</v>
      </c>
      <c r="H41" s="2" t="s">
        <v>236</v>
      </c>
      <c r="I41" s="2" t="s">
        <v>225</v>
      </c>
      <c r="J41" s="2" t="s">
        <v>289</v>
      </c>
      <c r="K41" s="2" t="s">
        <v>289</v>
      </c>
      <c r="L41" s="6">
        <f t="shared" si="0"/>
        <v>25.220000000000002</v>
      </c>
      <c r="M41" s="6">
        <f t="shared" si="0"/>
        <v>25.220000000000002</v>
      </c>
      <c r="N41" s="2">
        <f t="shared" ref="N41:N80" si="3">G41-4.899</f>
        <v>20.120999999999999</v>
      </c>
      <c r="O41" s="19"/>
      <c r="P41" s="9">
        <v>3.4550000000000001</v>
      </c>
      <c r="Q41" s="2" t="s">
        <v>574</v>
      </c>
      <c r="R41" s="2">
        <v>3.18</v>
      </c>
      <c r="S41" s="2">
        <v>5</v>
      </c>
      <c r="T41" s="2">
        <v>1.1479999999999999</v>
      </c>
      <c r="U41" s="2">
        <v>34</v>
      </c>
    </row>
    <row r="42" spans="1:21" ht="21" customHeight="1" x14ac:dyDescent="0.3">
      <c r="A42" s="2" t="s">
        <v>290</v>
      </c>
      <c r="B42" s="2" t="s">
        <v>18</v>
      </c>
      <c r="C42" s="2" t="s">
        <v>291</v>
      </c>
      <c r="D42" s="2" t="s">
        <v>292</v>
      </c>
      <c r="E42" s="2" t="s">
        <v>293</v>
      </c>
      <c r="F42" s="2" t="s">
        <v>294</v>
      </c>
      <c r="G42" s="2" t="s">
        <v>295</v>
      </c>
      <c r="H42" s="2" t="s">
        <v>296</v>
      </c>
      <c r="I42" s="2" t="s">
        <v>269</v>
      </c>
      <c r="J42" s="2" t="s">
        <v>297</v>
      </c>
      <c r="K42" s="2" t="s">
        <v>297</v>
      </c>
      <c r="L42" s="6">
        <f t="shared" si="0"/>
        <v>24.950000000000003</v>
      </c>
      <c r="M42" s="6">
        <f t="shared" si="0"/>
        <v>24.950000000000003</v>
      </c>
      <c r="N42" s="2">
        <f t="shared" si="3"/>
        <v>19.850999999999999</v>
      </c>
      <c r="O42" s="9">
        <v>4.1749999999999998</v>
      </c>
      <c r="P42" s="9">
        <v>3.4550000000000001</v>
      </c>
      <c r="Q42" s="2" t="s">
        <v>577</v>
      </c>
      <c r="R42" s="2">
        <v>3.18</v>
      </c>
      <c r="S42" s="2">
        <v>5</v>
      </c>
      <c r="T42" s="2">
        <v>1.1479999999999999</v>
      </c>
      <c r="U42" s="2">
        <v>34</v>
      </c>
    </row>
    <row r="43" spans="1:21" ht="21" customHeight="1" x14ac:dyDescent="0.3">
      <c r="A43" s="2" t="s">
        <v>35</v>
      </c>
      <c r="B43" s="2" t="s">
        <v>36</v>
      </c>
      <c r="C43" s="2" t="s">
        <v>298</v>
      </c>
      <c r="D43" s="2" t="s">
        <v>299</v>
      </c>
      <c r="E43" s="2" t="s">
        <v>300</v>
      </c>
      <c r="F43" s="2" t="s">
        <v>301</v>
      </c>
      <c r="G43" s="2" t="s">
        <v>12</v>
      </c>
      <c r="H43" s="2" t="s">
        <v>29</v>
      </c>
      <c r="I43" s="2" t="s">
        <v>11</v>
      </c>
      <c r="J43" s="2" t="s">
        <v>302</v>
      </c>
      <c r="K43" s="2" t="s">
        <v>302</v>
      </c>
      <c r="L43" s="6">
        <f t="shared" si="0"/>
        <v>24.860000000000003</v>
      </c>
      <c r="M43" s="6">
        <f t="shared" si="0"/>
        <v>24.860000000000003</v>
      </c>
      <c r="N43" s="2">
        <f t="shared" si="3"/>
        <v>19.760999999999999</v>
      </c>
      <c r="O43" s="9">
        <v>4.3150000000000004</v>
      </c>
      <c r="P43" s="9">
        <v>3.3149999999999999</v>
      </c>
      <c r="Q43" s="2" t="s">
        <v>577</v>
      </c>
      <c r="R43" s="2">
        <v>3.18</v>
      </c>
      <c r="S43" s="2">
        <v>5</v>
      </c>
      <c r="T43" s="2">
        <v>1.1479999999999999</v>
      </c>
      <c r="U43" s="2">
        <v>34</v>
      </c>
    </row>
    <row r="44" spans="1:21" ht="21" customHeight="1" x14ac:dyDescent="0.3">
      <c r="A44" s="2" t="s">
        <v>303</v>
      </c>
      <c r="B44" s="2" t="s">
        <v>45</v>
      </c>
      <c r="C44" s="2" t="s">
        <v>304</v>
      </c>
      <c r="D44" s="2" t="s">
        <v>305</v>
      </c>
      <c r="E44" s="2" t="s">
        <v>306</v>
      </c>
      <c r="F44" s="2" t="s">
        <v>307</v>
      </c>
      <c r="G44" s="2" t="s">
        <v>40</v>
      </c>
      <c r="H44" s="2" t="s">
        <v>55</v>
      </c>
      <c r="I44" s="2" t="s">
        <v>296</v>
      </c>
      <c r="J44" s="2" t="s">
        <v>308</v>
      </c>
      <c r="K44" s="2" t="s">
        <v>308</v>
      </c>
      <c r="L44" s="6">
        <f t="shared" si="0"/>
        <v>24.73</v>
      </c>
      <c r="M44" s="6">
        <f t="shared" si="0"/>
        <v>24.73</v>
      </c>
      <c r="N44" s="2">
        <f t="shared" si="3"/>
        <v>19.631</v>
      </c>
      <c r="O44" s="9">
        <v>5.3150000000000004</v>
      </c>
      <c r="P44" s="9">
        <v>2.3149999999999999</v>
      </c>
      <c r="Q44" s="2" t="s">
        <v>577</v>
      </c>
      <c r="R44" s="2">
        <v>3.18</v>
      </c>
      <c r="S44" s="2">
        <v>5</v>
      </c>
      <c r="T44" s="2">
        <v>1.1479999999999999</v>
      </c>
      <c r="U44" s="2">
        <v>34</v>
      </c>
    </row>
    <row r="45" spans="1:21" ht="21" customHeight="1" x14ac:dyDescent="0.3">
      <c r="A45" s="2" t="s">
        <v>309</v>
      </c>
      <c r="B45" s="2" t="s">
        <v>18</v>
      </c>
      <c r="C45" s="2" t="s">
        <v>310</v>
      </c>
      <c r="D45" s="2" t="s">
        <v>311</v>
      </c>
      <c r="E45" s="2" t="s">
        <v>312</v>
      </c>
      <c r="F45" s="2" t="s">
        <v>313</v>
      </c>
      <c r="G45" s="2" t="s">
        <v>97</v>
      </c>
      <c r="H45" s="2" t="s">
        <v>263</v>
      </c>
      <c r="I45" s="2" t="s">
        <v>257</v>
      </c>
      <c r="J45" s="2" t="s">
        <v>314</v>
      </c>
      <c r="K45" s="2" t="s">
        <v>314</v>
      </c>
      <c r="L45" s="6">
        <f t="shared" si="0"/>
        <v>24.53</v>
      </c>
      <c r="M45" s="6">
        <f t="shared" si="0"/>
        <v>24.53</v>
      </c>
      <c r="N45" s="2">
        <f t="shared" si="3"/>
        <v>19.430999999999997</v>
      </c>
      <c r="O45" s="9">
        <v>4.7149999999999999</v>
      </c>
      <c r="P45" s="9">
        <v>2.915</v>
      </c>
      <c r="Q45" s="2" t="s">
        <v>577</v>
      </c>
      <c r="R45" s="2">
        <v>3.18</v>
      </c>
      <c r="S45" s="2">
        <v>5</v>
      </c>
      <c r="T45" s="2">
        <v>1.1479999999999999</v>
      </c>
      <c r="U45" s="2">
        <v>34</v>
      </c>
    </row>
    <row r="46" spans="1:21" ht="21" customHeight="1" x14ac:dyDescent="0.3">
      <c r="A46" s="2" t="s">
        <v>35</v>
      </c>
      <c r="B46" s="2" t="s">
        <v>36</v>
      </c>
      <c r="C46" s="2" t="s">
        <v>315</v>
      </c>
      <c r="D46" s="2" t="s">
        <v>316</v>
      </c>
      <c r="E46" s="2" t="s">
        <v>317</v>
      </c>
      <c r="F46" s="2" t="s">
        <v>318</v>
      </c>
      <c r="G46" s="2" t="s">
        <v>319</v>
      </c>
      <c r="H46" s="2" t="s">
        <v>29</v>
      </c>
      <c r="I46" s="2" t="s">
        <v>320</v>
      </c>
      <c r="J46" s="2" t="s">
        <v>321</v>
      </c>
      <c r="K46" s="2" t="s">
        <v>321</v>
      </c>
      <c r="L46" s="6">
        <f t="shared" si="0"/>
        <v>24.46</v>
      </c>
      <c r="M46" s="6">
        <f t="shared" si="0"/>
        <v>24.46</v>
      </c>
      <c r="N46" s="2">
        <f t="shared" si="3"/>
        <v>19.361000000000001</v>
      </c>
      <c r="O46" s="9">
        <v>3.5350000000000001</v>
      </c>
      <c r="P46" s="9">
        <v>7.63</v>
      </c>
      <c r="Q46" s="2" t="s">
        <v>577</v>
      </c>
      <c r="R46" s="2">
        <v>3.18</v>
      </c>
      <c r="S46" s="2">
        <v>5</v>
      </c>
      <c r="T46" s="2">
        <v>1.1479999999999999</v>
      </c>
      <c r="U46" s="2">
        <v>34</v>
      </c>
    </row>
    <row r="47" spans="1:21" ht="21" customHeight="1" x14ac:dyDescent="0.3">
      <c r="A47" s="2" t="s">
        <v>61</v>
      </c>
      <c r="B47" s="2" t="s">
        <v>279</v>
      </c>
      <c r="C47" s="2" t="s">
        <v>322</v>
      </c>
      <c r="D47" s="2" t="s">
        <v>323</v>
      </c>
      <c r="E47" s="2" t="s">
        <v>324</v>
      </c>
      <c r="F47" s="2" t="s">
        <v>325</v>
      </c>
      <c r="G47" s="2" t="s">
        <v>326</v>
      </c>
      <c r="H47" s="2" t="s">
        <v>295</v>
      </c>
      <c r="I47" s="2" t="s">
        <v>327</v>
      </c>
      <c r="J47" s="2" t="s">
        <v>328</v>
      </c>
      <c r="K47" s="2" t="s">
        <v>328</v>
      </c>
      <c r="L47" s="6">
        <f t="shared" si="0"/>
        <v>24.360000000000003</v>
      </c>
      <c r="M47" s="6">
        <f t="shared" si="0"/>
        <v>24.360000000000003</v>
      </c>
      <c r="N47" s="2">
        <f t="shared" si="3"/>
        <v>19.260999999999999</v>
      </c>
      <c r="O47" s="9">
        <v>1.3149999999999999</v>
      </c>
      <c r="P47" s="19"/>
      <c r="Q47" s="2" t="s">
        <v>576</v>
      </c>
      <c r="R47" s="2">
        <v>3.18</v>
      </c>
      <c r="S47" s="2">
        <v>5</v>
      </c>
      <c r="T47" s="2">
        <v>1.1479999999999999</v>
      </c>
      <c r="U47" s="2">
        <v>34</v>
      </c>
    </row>
    <row r="48" spans="1:21" ht="21" customHeight="1" x14ac:dyDescent="0.3">
      <c r="A48" s="2" t="s">
        <v>329</v>
      </c>
      <c r="B48" s="2" t="s">
        <v>71</v>
      </c>
      <c r="C48" s="2" t="s">
        <v>330</v>
      </c>
      <c r="D48" s="2" t="s">
        <v>331</v>
      </c>
      <c r="E48" s="2" t="s">
        <v>331</v>
      </c>
      <c r="F48" s="2" t="s">
        <v>332</v>
      </c>
      <c r="G48" s="2" t="s">
        <v>333</v>
      </c>
      <c r="H48" s="2" t="s">
        <v>334</v>
      </c>
      <c r="I48" s="2" t="s">
        <v>335</v>
      </c>
      <c r="J48" s="2" t="s">
        <v>295</v>
      </c>
      <c r="K48" s="2" t="s">
        <v>295</v>
      </c>
      <c r="L48" s="6">
        <f t="shared" si="0"/>
        <v>24.35</v>
      </c>
      <c r="M48" s="6">
        <f t="shared" si="0"/>
        <v>24.35</v>
      </c>
      <c r="N48" s="2">
        <f t="shared" si="3"/>
        <v>19.250999999999998</v>
      </c>
      <c r="O48" s="9">
        <v>0.48299999999999998</v>
      </c>
      <c r="P48" s="19"/>
      <c r="Q48" s="2" t="s">
        <v>576</v>
      </c>
      <c r="R48" s="2">
        <v>3.7349999999999999</v>
      </c>
      <c r="S48" s="2">
        <v>6</v>
      </c>
      <c r="T48" s="2">
        <v>1.1479999999999999</v>
      </c>
      <c r="U48" s="2">
        <v>34</v>
      </c>
    </row>
    <row r="49" spans="1:21" ht="21" customHeight="1" x14ac:dyDescent="0.3">
      <c r="A49" s="2" t="s">
        <v>336</v>
      </c>
      <c r="B49" s="2" t="s">
        <v>337</v>
      </c>
      <c r="C49" s="2" t="s">
        <v>338</v>
      </c>
      <c r="D49" s="2" t="s">
        <v>324</v>
      </c>
      <c r="E49" s="2" t="s">
        <v>324</v>
      </c>
      <c r="F49" s="2" t="s">
        <v>339</v>
      </c>
      <c r="G49" s="2" t="s">
        <v>340</v>
      </c>
      <c r="H49" s="2" t="s">
        <v>341</v>
      </c>
      <c r="I49" s="2" t="s">
        <v>342</v>
      </c>
      <c r="J49" s="2" t="s">
        <v>343</v>
      </c>
      <c r="K49" s="2" t="s">
        <v>343</v>
      </c>
      <c r="L49" s="6">
        <f t="shared" si="0"/>
        <v>24.34</v>
      </c>
      <c r="M49" s="6">
        <f t="shared" si="0"/>
        <v>24.34</v>
      </c>
      <c r="N49" s="2">
        <f t="shared" si="3"/>
        <v>19.241</v>
      </c>
      <c r="O49" s="9">
        <v>0.48299999999999998</v>
      </c>
      <c r="P49" s="9">
        <v>8.4830000000000005</v>
      </c>
      <c r="Q49" s="2" t="s">
        <v>577</v>
      </c>
      <c r="R49" s="2">
        <v>3.7349999999999999</v>
      </c>
      <c r="S49" s="2">
        <v>6</v>
      </c>
      <c r="T49" s="2">
        <v>1.1479999999999999</v>
      </c>
      <c r="U49" s="2">
        <v>34</v>
      </c>
    </row>
    <row r="50" spans="1:21" ht="21" customHeight="1" x14ac:dyDescent="0.3">
      <c r="A50" s="2" t="s">
        <v>344</v>
      </c>
      <c r="B50" s="2" t="s">
        <v>345</v>
      </c>
      <c r="C50" s="2" t="s">
        <v>346</v>
      </c>
      <c r="D50" s="2" t="s">
        <v>276</v>
      </c>
      <c r="E50" s="2" t="s">
        <v>324</v>
      </c>
      <c r="F50" s="2" t="s">
        <v>347</v>
      </c>
      <c r="G50" s="2" t="s">
        <v>137</v>
      </c>
      <c r="H50" s="2" t="s">
        <v>104</v>
      </c>
      <c r="I50" s="2" t="s">
        <v>348</v>
      </c>
      <c r="J50" s="2" t="s">
        <v>257</v>
      </c>
      <c r="K50" s="2" t="s">
        <v>257</v>
      </c>
      <c r="L50" s="6">
        <f t="shared" si="0"/>
        <v>24.310000000000002</v>
      </c>
      <c r="M50" s="6">
        <f t="shared" si="0"/>
        <v>24.310000000000002</v>
      </c>
      <c r="N50" s="2">
        <f t="shared" si="3"/>
        <v>19.210999999999999</v>
      </c>
      <c r="O50" s="9">
        <v>0.48299999999999998</v>
      </c>
      <c r="P50" s="9">
        <v>8.4830000000000005</v>
      </c>
      <c r="Q50" s="2" t="s">
        <v>577</v>
      </c>
      <c r="R50" s="2">
        <v>3.7349999999999999</v>
      </c>
      <c r="S50" s="2">
        <v>6</v>
      </c>
      <c r="T50" s="2">
        <v>1.1479999999999999</v>
      </c>
      <c r="U50" s="2">
        <v>34</v>
      </c>
    </row>
    <row r="51" spans="1:21" ht="21" customHeight="1" x14ac:dyDescent="0.3">
      <c r="A51" s="2" t="s">
        <v>349</v>
      </c>
      <c r="B51" s="2" t="s">
        <v>18</v>
      </c>
      <c r="C51" s="2" t="s">
        <v>350</v>
      </c>
      <c r="D51" s="2" t="s">
        <v>351</v>
      </c>
      <c r="E51" s="2" t="s">
        <v>352</v>
      </c>
      <c r="F51" s="2" t="s">
        <v>353</v>
      </c>
      <c r="G51" s="2" t="s">
        <v>125</v>
      </c>
      <c r="H51" s="2" t="s">
        <v>354</v>
      </c>
      <c r="I51" s="2" t="s">
        <v>270</v>
      </c>
      <c r="J51" s="2" t="s">
        <v>355</v>
      </c>
      <c r="K51" s="2" t="s">
        <v>355</v>
      </c>
      <c r="L51" s="6">
        <f t="shared" si="0"/>
        <v>24.270000000000003</v>
      </c>
      <c r="M51" s="6">
        <f t="shared" si="0"/>
        <v>24.270000000000003</v>
      </c>
      <c r="N51" s="2">
        <f t="shared" si="3"/>
        <v>19.170999999999999</v>
      </c>
      <c r="O51" s="9">
        <v>0.48299999999999998</v>
      </c>
      <c r="P51" s="9">
        <v>8.4830000000000005</v>
      </c>
      <c r="Q51" s="2" t="s">
        <v>577</v>
      </c>
      <c r="R51" s="2">
        <v>3.7349999999999999</v>
      </c>
      <c r="S51" s="2">
        <v>6</v>
      </c>
      <c r="T51" s="2">
        <v>1.1479999999999999</v>
      </c>
      <c r="U51" s="2">
        <v>34</v>
      </c>
    </row>
    <row r="52" spans="1:21" ht="21" customHeight="1" x14ac:dyDescent="0.3">
      <c r="A52" s="2" t="s">
        <v>35</v>
      </c>
      <c r="B52" s="2" t="s">
        <v>36</v>
      </c>
      <c r="C52" s="2" t="s">
        <v>356</v>
      </c>
      <c r="D52" s="2" t="s">
        <v>357</v>
      </c>
      <c r="E52" s="2" t="s">
        <v>358</v>
      </c>
      <c r="F52" s="2" t="s">
        <v>359</v>
      </c>
      <c r="G52" s="2" t="s">
        <v>165</v>
      </c>
      <c r="H52" s="2" t="s">
        <v>98</v>
      </c>
      <c r="I52" s="2" t="s">
        <v>360</v>
      </c>
      <c r="J52" s="2" t="s">
        <v>361</v>
      </c>
      <c r="K52" s="2" t="s">
        <v>361</v>
      </c>
      <c r="L52" s="6">
        <f t="shared" si="0"/>
        <v>24.25</v>
      </c>
      <c r="M52" s="6">
        <f t="shared" si="0"/>
        <v>24.25</v>
      </c>
      <c r="N52" s="2">
        <f t="shared" si="3"/>
        <v>19.151</v>
      </c>
      <c r="O52" s="9">
        <v>0.48299999999999998</v>
      </c>
      <c r="P52" s="9">
        <v>8.4830000000000005</v>
      </c>
      <c r="Q52" s="2" t="s">
        <v>577</v>
      </c>
      <c r="R52" s="2">
        <v>3.7349999999999999</v>
      </c>
      <c r="S52" s="2">
        <v>6</v>
      </c>
      <c r="T52" s="2">
        <v>1.1479999999999999</v>
      </c>
      <c r="U52" s="2">
        <v>34</v>
      </c>
    </row>
    <row r="53" spans="1:21" ht="21" customHeight="1" x14ac:dyDescent="0.3">
      <c r="A53" s="2" t="s">
        <v>362</v>
      </c>
      <c r="B53" s="2" t="s">
        <v>45</v>
      </c>
      <c r="C53" s="2" t="s">
        <v>363</v>
      </c>
      <c r="D53" s="2" t="s">
        <v>364</v>
      </c>
      <c r="E53" s="2" t="s">
        <v>365</v>
      </c>
      <c r="F53" s="2" t="s">
        <v>366</v>
      </c>
      <c r="G53" s="2" t="s">
        <v>367</v>
      </c>
      <c r="H53" s="2" t="s">
        <v>81</v>
      </c>
      <c r="I53" s="2" t="s">
        <v>288</v>
      </c>
      <c r="J53" s="2" t="s">
        <v>368</v>
      </c>
      <c r="K53" s="2" t="s">
        <v>368</v>
      </c>
      <c r="L53" s="6">
        <f t="shared" si="0"/>
        <v>24.220000000000002</v>
      </c>
      <c r="M53" s="6">
        <f t="shared" si="0"/>
        <v>24.220000000000002</v>
      </c>
      <c r="N53" s="2">
        <f t="shared" si="3"/>
        <v>19.120999999999999</v>
      </c>
      <c r="O53" s="9">
        <v>0.48299999999999998</v>
      </c>
      <c r="P53" s="9">
        <v>8.4830000000000005</v>
      </c>
      <c r="Q53" s="2" t="s">
        <v>577</v>
      </c>
      <c r="R53" s="2">
        <v>3.7349999999999999</v>
      </c>
      <c r="S53" s="2">
        <v>6</v>
      </c>
      <c r="T53" s="2">
        <v>1.1479999999999999</v>
      </c>
      <c r="U53" s="2">
        <v>34</v>
      </c>
    </row>
    <row r="54" spans="1:21" ht="21" customHeight="1" x14ac:dyDescent="0.3">
      <c r="A54" s="2" t="s">
        <v>369</v>
      </c>
      <c r="B54" s="2" t="s">
        <v>18</v>
      </c>
      <c r="C54" s="2" t="s">
        <v>370</v>
      </c>
      <c r="D54" s="2" t="s">
        <v>371</v>
      </c>
      <c r="E54" s="2" t="s">
        <v>372</v>
      </c>
      <c r="F54" s="2" t="s">
        <v>373</v>
      </c>
      <c r="G54" s="2" t="s">
        <v>374</v>
      </c>
      <c r="H54" s="2" t="s">
        <v>375</v>
      </c>
      <c r="I54" s="2" t="s">
        <v>376</v>
      </c>
      <c r="J54" s="2" t="s">
        <v>377</v>
      </c>
      <c r="K54" s="2" t="s">
        <v>377</v>
      </c>
      <c r="L54" s="6">
        <f t="shared" si="0"/>
        <v>25.240000000000002</v>
      </c>
      <c r="M54" s="6">
        <f t="shared" si="0"/>
        <v>25.240000000000002</v>
      </c>
      <c r="N54" s="2">
        <f t="shared" si="3"/>
        <v>19.070999999999998</v>
      </c>
      <c r="O54" s="9">
        <v>-1.117</v>
      </c>
      <c r="P54" s="9">
        <v>6.883</v>
      </c>
      <c r="Q54" s="2" t="s">
        <v>577</v>
      </c>
      <c r="R54" s="2">
        <v>3.7349999999999999</v>
      </c>
      <c r="S54" s="2">
        <v>6</v>
      </c>
      <c r="T54" s="2">
        <v>1.1479999999999999</v>
      </c>
      <c r="U54" s="2">
        <v>34</v>
      </c>
    </row>
    <row r="55" spans="1:21" ht="21" customHeight="1" x14ac:dyDescent="0.3">
      <c r="A55" s="2" t="s">
        <v>378</v>
      </c>
      <c r="B55" s="2" t="s">
        <v>279</v>
      </c>
      <c r="C55" s="2" t="s">
        <v>379</v>
      </c>
      <c r="D55" s="2" t="s">
        <v>380</v>
      </c>
      <c r="E55" s="2" t="s">
        <v>381</v>
      </c>
      <c r="F55" s="2" t="s">
        <v>382</v>
      </c>
      <c r="G55" s="2" t="s">
        <v>112</v>
      </c>
      <c r="H55" s="2" t="s">
        <v>187</v>
      </c>
      <c r="I55" s="2" t="s">
        <v>321</v>
      </c>
      <c r="J55" s="2" t="s">
        <v>377</v>
      </c>
      <c r="K55" s="2" t="s">
        <v>377</v>
      </c>
      <c r="L55" s="6">
        <f t="shared" si="0"/>
        <v>25.240000000000002</v>
      </c>
      <c r="M55" s="6">
        <f t="shared" si="0"/>
        <v>25.240000000000002</v>
      </c>
      <c r="N55" s="2">
        <f t="shared" si="3"/>
        <v>19.050999999999998</v>
      </c>
      <c r="O55" s="9">
        <v>-1.1519999999999999</v>
      </c>
      <c r="P55" s="9">
        <v>6.8479999999999999</v>
      </c>
      <c r="Q55" s="2" t="s">
        <v>577</v>
      </c>
      <c r="R55" s="2">
        <v>3.7349999999999999</v>
      </c>
      <c r="S55" s="2">
        <v>6</v>
      </c>
      <c r="T55" s="2">
        <v>1.1479999999999999</v>
      </c>
      <c r="U55" s="2">
        <v>34</v>
      </c>
    </row>
    <row r="56" spans="1:21" ht="21" customHeight="1" x14ac:dyDescent="0.3">
      <c r="A56" s="2" t="s">
        <v>383</v>
      </c>
      <c r="B56" s="2" t="s">
        <v>384</v>
      </c>
      <c r="C56" s="2" t="s">
        <v>385</v>
      </c>
      <c r="D56" s="2" t="s">
        <v>386</v>
      </c>
      <c r="E56" s="2" t="s">
        <v>387</v>
      </c>
      <c r="F56" s="2" t="s">
        <v>382</v>
      </c>
      <c r="G56" s="2" t="s">
        <v>112</v>
      </c>
      <c r="H56" s="2" t="s">
        <v>321</v>
      </c>
      <c r="I56" s="2" t="s">
        <v>263</v>
      </c>
      <c r="J56" s="2" t="s">
        <v>377</v>
      </c>
      <c r="K56" s="2" t="s">
        <v>377</v>
      </c>
      <c r="L56" s="6">
        <f t="shared" si="0"/>
        <v>25.240000000000002</v>
      </c>
      <c r="M56" s="6">
        <f t="shared" si="0"/>
        <v>25.240000000000002</v>
      </c>
      <c r="N56" s="2">
        <f t="shared" si="3"/>
        <v>19.050999999999998</v>
      </c>
      <c r="O56" s="9">
        <v>-1.1519999999999999</v>
      </c>
      <c r="P56" s="9">
        <v>6.8479999999999999</v>
      </c>
      <c r="Q56" s="2" t="s">
        <v>577</v>
      </c>
      <c r="R56" s="2">
        <v>3.7349999999999999</v>
      </c>
      <c r="S56" s="2">
        <v>6</v>
      </c>
      <c r="T56" s="2">
        <v>1.1479999999999999</v>
      </c>
      <c r="U56" s="2">
        <v>34</v>
      </c>
    </row>
    <row r="57" spans="1:21" ht="21" customHeight="1" x14ac:dyDescent="0.3">
      <c r="A57" s="2" t="s">
        <v>61</v>
      </c>
      <c r="B57" s="2" t="s">
        <v>388</v>
      </c>
      <c r="C57" s="2" t="s">
        <v>389</v>
      </c>
      <c r="D57" s="2" t="s">
        <v>390</v>
      </c>
      <c r="E57" s="2" t="s">
        <v>391</v>
      </c>
      <c r="F57" s="2" t="s">
        <v>382</v>
      </c>
      <c r="G57" s="2" t="s">
        <v>112</v>
      </c>
      <c r="H57" s="2" t="s">
        <v>392</v>
      </c>
      <c r="I57" s="2" t="s">
        <v>393</v>
      </c>
      <c r="J57" s="2" t="s">
        <v>377</v>
      </c>
      <c r="K57" s="2" t="s">
        <v>377</v>
      </c>
      <c r="L57" s="6">
        <f t="shared" si="0"/>
        <v>25.240000000000002</v>
      </c>
      <c r="M57" s="6">
        <f t="shared" si="0"/>
        <v>25.240000000000002</v>
      </c>
      <c r="N57" s="2">
        <f t="shared" si="3"/>
        <v>19.050999999999998</v>
      </c>
      <c r="O57" s="9">
        <v>-1.1519999999999999</v>
      </c>
      <c r="P57" s="9">
        <v>6.8479999999999999</v>
      </c>
      <c r="Q57" s="2" t="s">
        <v>577</v>
      </c>
      <c r="R57" s="2">
        <v>3.7349999999999999</v>
      </c>
      <c r="S57" s="2">
        <v>6</v>
      </c>
      <c r="T57" s="2">
        <v>1.1479999999999999</v>
      </c>
      <c r="U57" s="2">
        <v>34</v>
      </c>
    </row>
    <row r="58" spans="1:21" ht="21" customHeight="1" x14ac:dyDescent="0.3">
      <c r="A58" s="2" t="s">
        <v>394</v>
      </c>
      <c r="B58" s="2" t="s">
        <v>71</v>
      </c>
      <c r="C58" s="2" t="s">
        <v>395</v>
      </c>
      <c r="D58" s="2" t="s">
        <v>387</v>
      </c>
      <c r="E58" s="2" t="s">
        <v>353</v>
      </c>
      <c r="F58" s="2" t="s">
        <v>396</v>
      </c>
      <c r="G58" s="2" t="s">
        <v>397</v>
      </c>
      <c r="H58" s="2" t="s">
        <v>137</v>
      </c>
      <c r="I58" s="2" t="s">
        <v>398</v>
      </c>
      <c r="J58" s="2" t="s">
        <v>377</v>
      </c>
      <c r="K58" s="2" t="s">
        <v>377</v>
      </c>
      <c r="L58" s="6">
        <f t="shared" si="0"/>
        <v>25.240000000000002</v>
      </c>
      <c r="M58" s="6">
        <f t="shared" si="0"/>
        <v>25.240000000000002</v>
      </c>
      <c r="N58" s="2">
        <f t="shared" si="3"/>
        <v>19.041</v>
      </c>
      <c r="O58" s="9">
        <v>-0.67100000000000004</v>
      </c>
      <c r="P58" s="9">
        <v>6.8289999999999997</v>
      </c>
      <c r="Q58" s="2" t="s">
        <v>577</v>
      </c>
      <c r="R58" s="2">
        <v>3.7349999999999999</v>
      </c>
      <c r="S58" s="2">
        <v>6</v>
      </c>
      <c r="T58" s="2">
        <v>1.1479999999999999</v>
      </c>
      <c r="U58" s="2">
        <v>34</v>
      </c>
    </row>
    <row r="59" spans="1:21" ht="21" customHeight="1" x14ac:dyDescent="0.3">
      <c r="A59" s="2" t="s">
        <v>399</v>
      </c>
      <c r="B59" s="2" t="s">
        <v>18</v>
      </c>
      <c r="C59" s="2" t="s">
        <v>400</v>
      </c>
      <c r="D59" s="2" t="s">
        <v>332</v>
      </c>
      <c r="E59" s="2" t="s">
        <v>396</v>
      </c>
      <c r="F59" s="2" t="s">
        <v>401</v>
      </c>
      <c r="G59" s="2" t="s">
        <v>402</v>
      </c>
      <c r="H59" s="2" t="s">
        <v>219</v>
      </c>
      <c r="I59" s="2" t="s">
        <v>403</v>
      </c>
      <c r="J59" s="2" t="s">
        <v>404</v>
      </c>
      <c r="K59" s="2" t="s">
        <v>404</v>
      </c>
      <c r="L59" s="6">
        <f t="shared" si="0"/>
        <v>24.05</v>
      </c>
      <c r="M59" s="6">
        <f t="shared" si="0"/>
        <v>24.05</v>
      </c>
      <c r="N59" s="2">
        <f t="shared" si="3"/>
        <v>18.951000000000001</v>
      </c>
      <c r="O59" s="9">
        <v>0.48299999999999998</v>
      </c>
      <c r="P59" s="9">
        <v>8.4830000000000005</v>
      </c>
      <c r="Q59" s="2" t="s">
        <v>577</v>
      </c>
      <c r="R59" s="2">
        <v>3.7349999999999999</v>
      </c>
      <c r="S59" s="2">
        <v>6</v>
      </c>
      <c r="T59" s="2">
        <v>1.1479999999999999</v>
      </c>
      <c r="U59" s="2">
        <v>34</v>
      </c>
    </row>
    <row r="60" spans="1:21" ht="21" customHeight="1" x14ac:dyDescent="0.3">
      <c r="A60" s="2" t="s">
        <v>405</v>
      </c>
      <c r="B60" s="2" t="s">
        <v>18</v>
      </c>
      <c r="C60" s="2" t="s">
        <v>406</v>
      </c>
      <c r="D60" s="2" t="s">
        <v>407</v>
      </c>
      <c r="E60" s="2" t="s">
        <v>407</v>
      </c>
      <c r="F60" s="2" t="s">
        <v>408</v>
      </c>
      <c r="G60" s="2" t="s">
        <v>409</v>
      </c>
      <c r="H60" s="2" t="s">
        <v>410</v>
      </c>
      <c r="I60" s="2" t="s">
        <v>326</v>
      </c>
      <c r="J60" s="2" t="s">
        <v>81</v>
      </c>
      <c r="K60" s="2" t="s">
        <v>81</v>
      </c>
      <c r="L60" s="6">
        <f t="shared" si="0"/>
        <v>23.970000000000002</v>
      </c>
      <c r="M60" s="6">
        <f t="shared" si="0"/>
        <v>23.970000000000002</v>
      </c>
      <c r="N60" s="2">
        <f t="shared" si="3"/>
        <v>18.870999999999999</v>
      </c>
      <c r="O60" s="9">
        <v>0.48299999999999998</v>
      </c>
      <c r="P60" s="9">
        <v>8.4830000000000005</v>
      </c>
      <c r="Q60" s="2" t="s">
        <v>577</v>
      </c>
      <c r="R60" s="2">
        <v>3.7349999999999999</v>
      </c>
      <c r="S60" s="2">
        <v>6</v>
      </c>
      <c r="T60" s="2">
        <v>1.1479999999999999</v>
      </c>
      <c r="U60" s="2">
        <v>34</v>
      </c>
    </row>
    <row r="61" spans="1:21" ht="21" customHeight="1" x14ac:dyDescent="0.3">
      <c r="A61" s="2" t="s">
        <v>35</v>
      </c>
      <c r="B61" s="2" t="s">
        <v>36</v>
      </c>
      <c r="C61" s="2" t="s">
        <v>411</v>
      </c>
      <c r="D61" s="2" t="s">
        <v>412</v>
      </c>
      <c r="E61" s="2" t="s">
        <v>413</v>
      </c>
      <c r="F61" s="2" t="s">
        <v>414</v>
      </c>
      <c r="G61" s="2" t="s">
        <v>415</v>
      </c>
      <c r="H61" s="2" t="s">
        <v>305</v>
      </c>
      <c r="I61" s="2" t="s">
        <v>146</v>
      </c>
      <c r="J61" s="2" t="s">
        <v>187</v>
      </c>
      <c r="K61" s="2" t="s">
        <v>187</v>
      </c>
      <c r="L61" s="6">
        <f t="shared" si="0"/>
        <v>23.94</v>
      </c>
      <c r="M61" s="6">
        <f t="shared" si="0"/>
        <v>23.94</v>
      </c>
      <c r="N61" s="2">
        <f t="shared" si="3"/>
        <v>18.840999999999998</v>
      </c>
      <c r="O61" s="9">
        <v>0.48299999999999998</v>
      </c>
      <c r="P61" s="9">
        <v>8.4830000000000005</v>
      </c>
      <c r="Q61" s="2" t="s">
        <v>577</v>
      </c>
      <c r="R61" s="2">
        <v>3.7349999999999999</v>
      </c>
      <c r="S61" s="2">
        <v>6</v>
      </c>
      <c r="T61" s="2">
        <v>1.1479999999999999</v>
      </c>
      <c r="U61" s="2">
        <v>34</v>
      </c>
    </row>
    <row r="62" spans="1:21" ht="21" customHeight="1" x14ac:dyDescent="0.3">
      <c r="A62" s="2" t="s">
        <v>416</v>
      </c>
      <c r="B62" s="2" t="s">
        <v>45</v>
      </c>
      <c r="C62" s="2" t="s">
        <v>417</v>
      </c>
      <c r="D62" s="2" t="s">
        <v>418</v>
      </c>
      <c r="E62" s="2" t="s">
        <v>419</v>
      </c>
      <c r="F62" s="2" t="s">
        <v>420</v>
      </c>
      <c r="G62" s="2" t="s">
        <v>179</v>
      </c>
      <c r="H62" s="2" t="s">
        <v>421</v>
      </c>
      <c r="I62" s="2" t="s">
        <v>422</v>
      </c>
      <c r="J62" s="2" t="s">
        <v>98</v>
      </c>
      <c r="K62" s="2" t="s">
        <v>98</v>
      </c>
      <c r="L62" s="6">
        <f t="shared" si="0"/>
        <v>23.92</v>
      </c>
      <c r="M62" s="6">
        <f t="shared" si="0"/>
        <v>23.92</v>
      </c>
      <c r="N62" s="2">
        <f t="shared" si="3"/>
        <v>18.820999999999998</v>
      </c>
      <c r="O62" s="9">
        <v>0.48299999999999998</v>
      </c>
      <c r="P62" s="9">
        <v>8.4830000000000005</v>
      </c>
      <c r="Q62" s="2" t="s">
        <v>577</v>
      </c>
      <c r="R62" s="2">
        <v>3.7349999999999999</v>
      </c>
      <c r="S62" s="2">
        <v>6</v>
      </c>
      <c r="T62" s="2">
        <v>1.1479999999999999</v>
      </c>
      <c r="U62" s="2">
        <v>34</v>
      </c>
    </row>
    <row r="63" spans="1:21" ht="21" customHeight="1" x14ac:dyDescent="0.3">
      <c r="A63" s="2" t="s">
        <v>423</v>
      </c>
      <c r="B63" s="2" t="s">
        <v>18</v>
      </c>
      <c r="C63" s="2" t="s">
        <v>424</v>
      </c>
      <c r="D63" s="2" t="s">
        <v>425</v>
      </c>
      <c r="E63" s="2" t="s">
        <v>426</v>
      </c>
      <c r="F63" s="2" t="s">
        <v>427</v>
      </c>
      <c r="G63" s="2" t="s">
        <v>428</v>
      </c>
      <c r="H63" s="2" t="s">
        <v>421</v>
      </c>
      <c r="I63" s="2" t="s">
        <v>215</v>
      </c>
      <c r="J63" s="2" t="s">
        <v>429</v>
      </c>
      <c r="K63" s="2" t="s">
        <v>429</v>
      </c>
      <c r="L63" s="6">
        <f t="shared" si="0"/>
        <v>23.89</v>
      </c>
      <c r="M63" s="6">
        <f t="shared" si="0"/>
        <v>23.89</v>
      </c>
      <c r="N63" s="2">
        <f t="shared" si="3"/>
        <v>18.791</v>
      </c>
      <c r="O63" s="9">
        <v>0.48299999999999998</v>
      </c>
      <c r="P63" s="9">
        <v>8.4830000000000005</v>
      </c>
      <c r="Q63" s="2" t="s">
        <v>577</v>
      </c>
      <c r="R63" s="2">
        <v>3.7349999999999999</v>
      </c>
      <c r="S63" s="2">
        <v>6</v>
      </c>
      <c r="T63" s="2">
        <v>1.1479999999999999</v>
      </c>
      <c r="U63" s="2">
        <v>34</v>
      </c>
    </row>
    <row r="64" spans="1:21" ht="21" customHeight="1" x14ac:dyDescent="0.3">
      <c r="A64" s="2" t="s">
        <v>61</v>
      </c>
      <c r="B64" s="2" t="s">
        <v>62</v>
      </c>
      <c r="C64" s="2" t="s">
        <v>430</v>
      </c>
      <c r="D64" s="2" t="s">
        <v>431</v>
      </c>
      <c r="E64" s="2" t="s">
        <v>432</v>
      </c>
      <c r="F64" s="2" t="s">
        <v>433</v>
      </c>
      <c r="G64" s="2" t="s">
        <v>434</v>
      </c>
      <c r="H64" s="2" t="s">
        <v>435</v>
      </c>
      <c r="I64" s="2" t="s">
        <v>146</v>
      </c>
      <c r="J64" s="2" t="s">
        <v>319</v>
      </c>
      <c r="K64" s="2" t="s">
        <v>319</v>
      </c>
      <c r="L64" s="6">
        <f t="shared" si="0"/>
        <v>23.860000000000003</v>
      </c>
      <c r="M64" s="6">
        <f t="shared" si="0"/>
        <v>23.860000000000003</v>
      </c>
      <c r="N64" s="2">
        <f t="shared" si="3"/>
        <v>18.760999999999999</v>
      </c>
      <c r="O64" s="9">
        <v>0.5</v>
      </c>
      <c r="P64" s="9">
        <v>8.4830000000000005</v>
      </c>
      <c r="Q64" s="2" t="s">
        <v>577</v>
      </c>
      <c r="R64" s="2">
        <v>3.7349999999999999</v>
      </c>
      <c r="S64" s="2">
        <v>6</v>
      </c>
      <c r="T64" s="2">
        <v>1.1479999999999999</v>
      </c>
      <c r="U64" s="2">
        <v>34</v>
      </c>
    </row>
    <row r="65" spans="1:21" ht="21" customHeight="1" x14ac:dyDescent="0.3">
      <c r="A65" s="2" t="s">
        <v>436</v>
      </c>
      <c r="B65" s="2" t="s">
        <v>71</v>
      </c>
      <c r="C65" s="2" t="s">
        <v>437</v>
      </c>
      <c r="D65" s="2" t="s">
        <v>438</v>
      </c>
      <c r="E65" s="2" t="s">
        <v>439</v>
      </c>
      <c r="F65" s="2" t="s">
        <v>440</v>
      </c>
      <c r="G65" s="2" t="s">
        <v>434</v>
      </c>
      <c r="H65" s="2" t="s">
        <v>311</v>
      </c>
      <c r="I65" s="2" t="s">
        <v>131</v>
      </c>
      <c r="J65" s="2" t="s">
        <v>319</v>
      </c>
      <c r="K65" s="2" t="s">
        <v>319</v>
      </c>
      <c r="L65" s="6">
        <f t="shared" si="0"/>
        <v>23.860000000000003</v>
      </c>
      <c r="M65" s="6">
        <f t="shared" si="0"/>
        <v>23.860000000000003</v>
      </c>
      <c r="N65" s="2">
        <f t="shared" si="3"/>
        <v>18.760999999999999</v>
      </c>
      <c r="O65" s="9">
        <v>0.48299999999999998</v>
      </c>
      <c r="P65" s="9">
        <v>8.4830000000000005</v>
      </c>
      <c r="Q65" s="2" t="s">
        <v>577</v>
      </c>
      <c r="R65" s="2">
        <v>3.7349999999999999</v>
      </c>
      <c r="S65" s="2">
        <v>6</v>
      </c>
      <c r="T65" s="2">
        <v>1.1479999999999999</v>
      </c>
      <c r="U65" s="2">
        <v>34</v>
      </c>
    </row>
    <row r="66" spans="1:21" ht="21" customHeight="1" x14ac:dyDescent="0.3">
      <c r="A66" s="2" t="s">
        <v>441</v>
      </c>
      <c r="B66" s="2" t="s">
        <v>18</v>
      </c>
      <c r="C66" s="2" t="s">
        <v>442</v>
      </c>
      <c r="D66" s="2" t="s">
        <v>443</v>
      </c>
      <c r="E66" s="2" t="s">
        <v>444</v>
      </c>
      <c r="F66" s="2" t="s">
        <v>445</v>
      </c>
      <c r="G66" s="2" t="s">
        <v>285</v>
      </c>
      <c r="H66" s="2" t="s">
        <v>446</v>
      </c>
      <c r="I66" s="2" t="s">
        <v>228</v>
      </c>
      <c r="J66" s="2" t="s">
        <v>447</v>
      </c>
      <c r="K66" s="2" t="s">
        <v>447</v>
      </c>
      <c r="L66" s="6">
        <f t="shared" si="0"/>
        <v>23.82</v>
      </c>
      <c r="M66" s="6">
        <f t="shared" si="0"/>
        <v>23.82</v>
      </c>
      <c r="N66" s="2">
        <f t="shared" si="3"/>
        <v>18.721</v>
      </c>
      <c r="O66" s="9">
        <v>0.20300000000000001</v>
      </c>
      <c r="P66" s="9">
        <v>8.7629999999999999</v>
      </c>
      <c r="Q66" s="2" t="s">
        <v>577</v>
      </c>
      <c r="R66" s="2">
        <v>3.7349999999999999</v>
      </c>
      <c r="S66" s="2">
        <v>6</v>
      </c>
      <c r="T66" s="2">
        <v>1.1479999999999999</v>
      </c>
      <c r="U66" s="2">
        <v>34</v>
      </c>
    </row>
    <row r="67" spans="1:21" ht="21" customHeight="1" x14ac:dyDescent="0.3">
      <c r="A67" s="2" t="s">
        <v>448</v>
      </c>
      <c r="B67" s="2" t="s">
        <v>18</v>
      </c>
      <c r="C67" s="2" t="s">
        <v>449</v>
      </c>
      <c r="D67" s="2" t="s">
        <v>371</v>
      </c>
      <c r="E67" s="2" t="s">
        <v>450</v>
      </c>
      <c r="F67" s="2" t="s">
        <v>451</v>
      </c>
      <c r="G67" s="2" t="s">
        <v>452</v>
      </c>
      <c r="H67" s="2" t="s">
        <v>285</v>
      </c>
      <c r="I67" s="2" t="s">
        <v>453</v>
      </c>
      <c r="J67" s="2" t="s">
        <v>335</v>
      </c>
      <c r="K67" s="2" t="s">
        <v>335</v>
      </c>
      <c r="L67" s="6">
        <f t="shared" ref="L67:M81" si="4">J67-0.4</f>
        <v>23.790000000000003</v>
      </c>
      <c r="M67" s="6">
        <f t="shared" si="4"/>
        <v>23.790000000000003</v>
      </c>
      <c r="N67" s="2">
        <f t="shared" si="3"/>
        <v>18.690999999999999</v>
      </c>
      <c r="O67" s="9">
        <v>-1.7000000000000001E-2</v>
      </c>
      <c r="P67" s="9">
        <v>8.9830000000000005</v>
      </c>
      <c r="Q67" s="2" t="s">
        <v>577</v>
      </c>
      <c r="R67" s="2">
        <v>3.7349999999999999</v>
      </c>
      <c r="S67" s="2">
        <v>6</v>
      </c>
      <c r="T67" s="2">
        <v>1.1479999999999999</v>
      </c>
      <c r="U67" s="2">
        <v>34</v>
      </c>
    </row>
    <row r="68" spans="1:21" ht="21" customHeight="1" x14ac:dyDescent="0.3">
      <c r="A68" s="2" t="s">
        <v>35</v>
      </c>
      <c r="B68" s="2" t="s">
        <v>36</v>
      </c>
      <c r="C68" s="2" t="s">
        <v>454</v>
      </c>
      <c r="D68" s="2" t="s">
        <v>451</v>
      </c>
      <c r="E68" s="2" t="s">
        <v>450</v>
      </c>
      <c r="F68" s="2" t="s">
        <v>455</v>
      </c>
      <c r="G68" s="2" t="s">
        <v>456</v>
      </c>
      <c r="H68" s="2" t="s">
        <v>285</v>
      </c>
      <c r="I68" s="2" t="s">
        <v>457</v>
      </c>
      <c r="J68" s="2" t="s">
        <v>458</v>
      </c>
      <c r="K68" s="2" t="s">
        <v>458</v>
      </c>
      <c r="L68" s="6">
        <f t="shared" si="4"/>
        <v>23.78</v>
      </c>
      <c r="M68" s="6">
        <f t="shared" si="4"/>
        <v>23.78</v>
      </c>
      <c r="N68" s="2">
        <f t="shared" si="3"/>
        <v>18.680999999999997</v>
      </c>
      <c r="O68" s="9">
        <v>-1.327</v>
      </c>
      <c r="P68" s="9">
        <v>10.292999999999999</v>
      </c>
      <c r="Q68" s="2" t="s">
        <v>577</v>
      </c>
      <c r="R68" s="2">
        <v>3.7349999999999999</v>
      </c>
      <c r="S68" s="2">
        <v>6</v>
      </c>
      <c r="T68" s="2">
        <v>1.1479999999999999</v>
      </c>
      <c r="U68" s="2">
        <v>34</v>
      </c>
    </row>
    <row r="69" spans="1:21" ht="21" customHeight="1" x14ac:dyDescent="0.3">
      <c r="A69" s="2" t="s">
        <v>459</v>
      </c>
      <c r="B69" s="2" t="s">
        <v>45</v>
      </c>
      <c r="C69" s="2" t="s">
        <v>460</v>
      </c>
      <c r="D69" s="2" t="s">
        <v>461</v>
      </c>
      <c r="E69" s="2" t="s">
        <v>462</v>
      </c>
      <c r="F69" s="2" t="s">
        <v>463</v>
      </c>
      <c r="G69" s="2" t="s">
        <v>160</v>
      </c>
      <c r="H69" s="2" t="s">
        <v>464</v>
      </c>
      <c r="I69" s="2" t="s">
        <v>465</v>
      </c>
      <c r="J69" s="2" t="s">
        <v>466</v>
      </c>
      <c r="K69" s="2" t="s">
        <v>466</v>
      </c>
      <c r="L69" s="6">
        <f t="shared" si="4"/>
        <v>23.770000000000003</v>
      </c>
      <c r="M69" s="6">
        <f t="shared" si="4"/>
        <v>23.770000000000003</v>
      </c>
      <c r="N69" s="2">
        <f t="shared" si="3"/>
        <v>18.670999999999999</v>
      </c>
      <c r="O69" s="9">
        <v>-0.997</v>
      </c>
      <c r="P69" s="9">
        <v>9.9629999999999992</v>
      </c>
      <c r="Q69" s="2" t="s">
        <v>577</v>
      </c>
      <c r="R69" s="2">
        <v>3.7349999999999999</v>
      </c>
      <c r="S69" s="2">
        <v>6</v>
      </c>
      <c r="T69" s="2">
        <v>1.1479999999999999</v>
      </c>
      <c r="U69" s="2">
        <v>34</v>
      </c>
    </row>
    <row r="70" spans="1:21" ht="21" customHeight="1" x14ac:dyDescent="0.3">
      <c r="A70" s="2" t="s">
        <v>467</v>
      </c>
      <c r="B70" s="2" t="s">
        <v>18</v>
      </c>
      <c r="C70" s="2" t="s">
        <v>468</v>
      </c>
      <c r="D70" s="2" t="s">
        <v>469</v>
      </c>
      <c r="E70" s="2" t="s">
        <v>470</v>
      </c>
      <c r="F70" s="2" t="s">
        <v>471</v>
      </c>
      <c r="G70" s="2" t="s">
        <v>202</v>
      </c>
      <c r="H70" s="2" t="s">
        <v>228</v>
      </c>
      <c r="I70" s="2" t="s">
        <v>299</v>
      </c>
      <c r="J70" s="2" t="s">
        <v>333</v>
      </c>
      <c r="K70" s="2" t="s">
        <v>333</v>
      </c>
      <c r="L70" s="6">
        <f t="shared" si="4"/>
        <v>23.75</v>
      </c>
      <c r="M70" s="6">
        <f t="shared" si="4"/>
        <v>23.75</v>
      </c>
      <c r="N70" s="2">
        <f t="shared" si="3"/>
        <v>18.651</v>
      </c>
      <c r="O70" s="9">
        <v>-1.589</v>
      </c>
      <c r="P70" s="9">
        <v>8.891</v>
      </c>
      <c r="Q70" s="2" t="s">
        <v>577</v>
      </c>
      <c r="R70" s="2">
        <v>4.2990000000000004</v>
      </c>
      <c r="S70" s="2">
        <v>7</v>
      </c>
      <c r="T70" s="2">
        <v>1.1479999999999999</v>
      </c>
      <c r="U70" s="2">
        <v>34</v>
      </c>
    </row>
    <row r="71" spans="1:21" ht="21" customHeight="1" x14ac:dyDescent="0.3">
      <c r="A71" s="2" t="s">
        <v>61</v>
      </c>
      <c r="B71" s="2" t="s">
        <v>62</v>
      </c>
      <c r="C71" s="2" t="s">
        <v>472</v>
      </c>
      <c r="D71" s="2" t="s">
        <v>473</v>
      </c>
      <c r="E71" s="2" t="s">
        <v>474</v>
      </c>
      <c r="F71" s="2" t="s">
        <v>475</v>
      </c>
      <c r="G71" s="2" t="s">
        <v>224</v>
      </c>
      <c r="H71" s="2" t="s">
        <v>476</v>
      </c>
      <c r="I71" s="2" t="s">
        <v>292</v>
      </c>
      <c r="J71" s="2" t="s">
        <v>340</v>
      </c>
      <c r="K71" s="2" t="s">
        <v>340</v>
      </c>
      <c r="L71" s="6">
        <f t="shared" si="4"/>
        <v>23.740000000000002</v>
      </c>
      <c r="M71" s="6">
        <f t="shared" si="4"/>
        <v>23.740000000000002</v>
      </c>
      <c r="N71" s="2">
        <f t="shared" si="3"/>
        <v>18.640999999999998</v>
      </c>
      <c r="O71" s="9">
        <v>-0.439</v>
      </c>
      <c r="P71" s="9">
        <v>7.7409999999999997</v>
      </c>
      <c r="Q71" s="2" t="s">
        <v>577</v>
      </c>
      <c r="R71" s="2">
        <v>4.2990000000000004</v>
      </c>
      <c r="S71" s="2">
        <v>7</v>
      </c>
      <c r="T71" s="2">
        <v>1.1479999999999999</v>
      </c>
      <c r="U71" s="2">
        <v>34</v>
      </c>
    </row>
    <row r="72" spans="1:21" ht="21" customHeight="1" x14ac:dyDescent="0.3">
      <c r="A72" s="2" t="s">
        <v>477</v>
      </c>
      <c r="B72" s="2" t="s">
        <v>71</v>
      </c>
      <c r="C72" s="2" t="s">
        <v>478</v>
      </c>
      <c r="D72" s="2" t="s">
        <v>473</v>
      </c>
      <c r="E72" s="2" t="s">
        <v>474</v>
      </c>
      <c r="F72" s="2" t="s">
        <v>479</v>
      </c>
      <c r="G72" s="2" t="s">
        <v>224</v>
      </c>
      <c r="H72" s="2" t="s">
        <v>480</v>
      </c>
      <c r="I72" s="2" t="s">
        <v>481</v>
      </c>
      <c r="J72" s="2" t="s">
        <v>340</v>
      </c>
      <c r="K72" s="2" t="s">
        <v>340</v>
      </c>
      <c r="L72" s="6">
        <f t="shared" si="4"/>
        <v>23.740000000000002</v>
      </c>
      <c r="M72" s="6">
        <f t="shared" si="4"/>
        <v>23.740000000000002</v>
      </c>
      <c r="N72" s="2">
        <f t="shared" si="3"/>
        <v>18.640999999999998</v>
      </c>
      <c r="O72" s="9">
        <v>-0.48599999999999999</v>
      </c>
      <c r="P72" s="9">
        <v>7.7409999999999997</v>
      </c>
      <c r="Q72" s="2" t="s">
        <v>577</v>
      </c>
      <c r="R72" s="2">
        <v>4.2990000000000004</v>
      </c>
      <c r="S72" s="2">
        <v>7</v>
      </c>
      <c r="T72" s="2">
        <v>1.1479999999999999</v>
      </c>
      <c r="U72" s="2">
        <v>34</v>
      </c>
    </row>
    <row r="73" spans="1:21" ht="21" customHeight="1" x14ac:dyDescent="0.3">
      <c r="A73" s="2" t="s">
        <v>482</v>
      </c>
      <c r="B73" s="2" t="s">
        <v>18</v>
      </c>
      <c r="C73" s="2" t="s">
        <v>483</v>
      </c>
      <c r="D73" s="2" t="s">
        <v>479</v>
      </c>
      <c r="E73" s="2" t="s">
        <v>484</v>
      </c>
      <c r="F73" s="2" t="s">
        <v>485</v>
      </c>
      <c r="G73" s="2" t="s">
        <v>228</v>
      </c>
      <c r="H73" s="2" t="s">
        <v>486</v>
      </c>
      <c r="I73" s="2" t="s">
        <v>487</v>
      </c>
      <c r="J73" s="2" t="s">
        <v>488</v>
      </c>
      <c r="K73" s="2" t="s">
        <v>488</v>
      </c>
      <c r="L73" s="6">
        <f t="shared" si="4"/>
        <v>23.720000000000002</v>
      </c>
      <c r="M73" s="6">
        <f t="shared" si="4"/>
        <v>23.720000000000002</v>
      </c>
      <c r="N73" s="2">
        <f t="shared" si="3"/>
        <v>18.620999999999999</v>
      </c>
      <c r="O73" s="9">
        <v>-0.34899999999999998</v>
      </c>
      <c r="P73" s="9">
        <v>7.6509999999999998</v>
      </c>
      <c r="Q73" s="2" t="s">
        <v>577</v>
      </c>
      <c r="R73" s="2">
        <v>4.2990000000000004</v>
      </c>
      <c r="S73" s="2">
        <v>7</v>
      </c>
      <c r="T73" s="2">
        <v>1.1479999999999999</v>
      </c>
      <c r="U73" s="2">
        <v>34</v>
      </c>
    </row>
    <row r="74" spans="1:21" ht="21" customHeight="1" x14ac:dyDescent="0.3">
      <c r="A74" s="2" t="s">
        <v>489</v>
      </c>
      <c r="B74" s="2" t="s">
        <v>18</v>
      </c>
      <c r="C74" s="2" t="s">
        <v>490</v>
      </c>
      <c r="D74" s="2" t="s">
        <v>475</v>
      </c>
      <c r="E74" s="2" t="s">
        <v>491</v>
      </c>
      <c r="F74" s="2" t="s">
        <v>492</v>
      </c>
      <c r="G74" s="2" t="s">
        <v>493</v>
      </c>
      <c r="H74" s="2" t="s">
        <v>245</v>
      </c>
      <c r="I74" s="2" t="s">
        <v>277</v>
      </c>
      <c r="J74" s="2" t="s">
        <v>137</v>
      </c>
      <c r="K74" s="2" t="s">
        <v>137</v>
      </c>
      <c r="L74" s="6">
        <f t="shared" si="4"/>
        <v>23.71</v>
      </c>
      <c r="M74" s="6">
        <f t="shared" si="4"/>
        <v>23.71</v>
      </c>
      <c r="N74" s="2">
        <f t="shared" si="3"/>
        <v>18.611000000000001</v>
      </c>
      <c r="O74" s="9">
        <v>-0.34899999999999998</v>
      </c>
      <c r="P74" s="9">
        <v>7.6509999999999998</v>
      </c>
      <c r="Q74" s="2" t="s">
        <v>577</v>
      </c>
      <c r="R74" s="2">
        <v>4.2990000000000004</v>
      </c>
      <c r="S74" s="2">
        <v>7</v>
      </c>
      <c r="T74" s="2">
        <v>1.1479999999999999</v>
      </c>
      <c r="U74" s="2">
        <v>34</v>
      </c>
    </row>
    <row r="75" spans="1:21" ht="21" customHeight="1" x14ac:dyDescent="0.3">
      <c r="A75" s="2" t="s">
        <v>35</v>
      </c>
      <c r="B75" s="2" t="s">
        <v>36</v>
      </c>
      <c r="C75" s="2" t="s">
        <v>494</v>
      </c>
      <c r="D75" s="2" t="s">
        <v>479</v>
      </c>
      <c r="E75" s="2" t="s">
        <v>495</v>
      </c>
      <c r="F75" s="2" t="s">
        <v>496</v>
      </c>
      <c r="G75" s="2" t="s">
        <v>480</v>
      </c>
      <c r="H75" s="2" t="s">
        <v>189</v>
      </c>
      <c r="I75" s="2" t="s">
        <v>497</v>
      </c>
      <c r="J75" s="2" t="s">
        <v>498</v>
      </c>
      <c r="K75" s="2" t="s">
        <v>498</v>
      </c>
      <c r="L75" s="6">
        <f t="shared" si="4"/>
        <v>23.700000000000003</v>
      </c>
      <c r="M75" s="6">
        <f t="shared" si="4"/>
        <v>23.700000000000003</v>
      </c>
      <c r="N75" s="2">
        <f t="shared" si="3"/>
        <v>18.600999999999999</v>
      </c>
      <c r="O75" s="9">
        <v>-1.181</v>
      </c>
      <c r="P75" s="9">
        <v>6.819</v>
      </c>
      <c r="Q75" s="2" t="s">
        <v>577</v>
      </c>
      <c r="R75" s="2">
        <v>4.8440000000000003</v>
      </c>
      <c r="S75" s="2">
        <v>8</v>
      </c>
      <c r="T75" s="2">
        <v>1.1479999999999999</v>
      </c>
      <c r="U75" s="2">
        <v>34</v>
      </c>
    </row>
    <row r="76" spans="1:21" ht="21" customHeight="1" x14ac:dyDescent="0.3">
      <c r="A76" s="2" t="s">
        <v>499</v>
      </c>
      <c r="B76" s="2" t="s">
        <v>45</v>
      </c>
      <c r="C76" s="2" t="s">
        <v>500</v>
      </c>
      <c r="D76" s="2" t="s">
        <v>501</v>
      </c>
      <c r="E76" s="2" t="s">
        <v>502</v>
      </c>
      <c r="F76" s="2" t="s">
        <v>503</v>
      </c>
      <c r="G76" s="2" t="s">
        <v>476</v>
      </c>
      <c r="H76" s="2" t="s">
        <v>166</v>
      </c>
      <c r="I76" s="2" t="s">
        <v>504</v>
      </c>
      <c r="J76" s="2" t="s">
        <v>91</v>
      </c>
      <c r="K76" s="2" t="s">
        <v>91</v>
      </c>
      <c r="L76" s="6">
        <f t="shared" si="4"/>
        <v>23.69</v>
      </c>
      <c r="M76" s="6">
        <f t="shared" si="4"/>
        <v>23.69</v>
      </c>
      <c r="N76" s="2">
        <f t="shared" si="3"/>
        <v>18.590999999999998</v>
      </c>
      <c r="O76" s="9">
        <v>-1.181</v>
      </c>
      <c r="P76" s="9">
        <v>6.819</v>
      </c>
      <c r="Q76" s="2" t="s">
        <v>577</v>
      </c>
      <c r="R76" s="2">
        <v>4.8440000000000003</v>
      </c>
      <c r="S76" s="2">
        <v>8</v>
      </c>
      <c r="T76" s="2">
        <v>1.1479999999999999</v>
      </c>
      <c r="U76" s="2">
        <v>34</v>
      </c>
    </row>
    <row r="77" spans="1:21" ht="21" customHeight="1" x14ac:dyDescent="0.3">
      <c r="A77" s="2" t="s">
        <v>505</v>
      </c>
      <c r="B77" s="2" t="s">
        <v>18</v>
      </c>
      <c r="C77" s="2" t="s">
        <v>506</v>
      </c>
      <c r="D77" s="2" t="s">
        <v>507</v>
      </c>
      <c r="E77" s="2" t="s">
        <v>508</v>
      </c>
      <c r="F77" s="2" t="s">
        <v>509</v>
      </c>
      <c r="G77" s="2" t="s">
        <v>510</v>
      </c>
      <c r="H77" s="2" t="s">
        <v>511</v>
      </c>
      <c r="I77" s="2" t="s">
        <v>512</v>
      </c>
      <c r="J77" s="2" t="s">
        <v>117</v>
      </c>
      <c r="K77" s="2" t="s">
        <v>117</v>
      </c>
      <c r="L77" s="6">
        <f t="shared" si="4"/>
        <v>23.68</v>
      </c>
      <c r="M77" s="6">
        <f t="shared" si="4"/>
        <v>23.68</v>
      </c>
      <c r="N77" s="2">
        <f t="shared" si="3"/>
        <v>18.581</v>
      </c>
      <c r="O77" s="11">
        <v>-0.70099999999999996</v>
      </c>
      <c r="P77" s="9">
        <v>6.3390000000000004</v>
      </c>
      <c r="Q77" s="2" t="s">
        <v>577</v>
      </c>
      <c r="R77" s="2">
        <v>4.8440000000000003</v>
      </c>
      <c r="S77" s="2">
        <v>8</v>
      </c>
      <c r="T77" s="2">
        <v>1.1479999999999999</v>
      </c>
      <c r="U77" s="2">
        <v>34</v>
      </c>
    </row>
    <row r="78" spans="1:21" ht="21" customHeight="1" x14ac:dyDescent="0.3">
      <c r="A78" s="2" t="s">
        <v>61</v>
      </c>
      <c r="B78" s="2" t="s">
        <v>62</v>
      </c>
      <c r="C78" s="2" t="s">
        <v>513</v>
      </c>
      <c r="D78" s="2" t="s">
        <v>514</v>
      </c>
      <c r="E78" s="2" t="s">
        <v>515</v>
      </c>
      <c r="F78" s="2" t="s">
        <v>516</v>
      </c>
      <c r="G78" s="2" t="s">
        <v>486</v>
      </c>
      <c r="H78" s="2" t="s">
        <v>464</v>
      </c>
      <c r="I78" s="2" t="s">
        <v>517</v>
      </c>
      <c r="J78" s="2" t="s">
        <v>125</v>
      </c>
      <c r="K78" s="2" t="s">
        <v>125</v>
      </c>
      <c r="L78" s="6">
        <f t="shared" si="4"/>
        <v>23.67</v>
      </c>
      <c r="M78" s="6">
        <f t="shared" si="4"/>
        <v>23.67</v>
      </c>
      <c r="N78" s="2">
        <f t="shared" si="3"/>
        <v>18.570999999999998</v>
      </c>
      <c r="O78" s="11">
        <v>7.9000000000000001E-2</v>
      </c>
      <c r="P78" s="9">
        <v>5.5590000000000002</v>
      </c>
      <c r="Q78" s="2" t="s">
        <v>577</v>
      </c>
      <c r="R78" s="2">
        <v>4.8440000000000003</v>
      </c>
      <c r="S78" s="2">
        <v>8</v>
      </c>
      <c r="T78" s="2">
        <v>1.1479999999999999</v>
      </c>
      <c r="U78" s="2">
        <v>34</v>
      </c>
    </row>
    <row r="79" spans="1:21" ht="21" customHeight="1" x14ac:dyDescent="0.3">
      <c r="A79" s="2" t="s">
        <v>518</v>
      </c>
      <c r="B79" s="2" t="s">
        <v>71</v>
      </c>
      <c r="C79" s="2" t="s">
        <v>519</v>
      </c>
      <c r="D79" s="2" t="s">
        <v>520</v>
      </c>
      <c r="E79" s="2" t="s">
        <v>521</v>
      </c>
      <c r="F79" s="2" t="s">
        <v>522</v>
      </c>
      <c r="G79" s="2" t="s">
        <v>523</v>
      </c>
      <c r="H79" s="2" t="s">
        <v>452</v>
      </c>
      <c r="I79" s="2" t="s">
        <v>300</v>
      </c>
      <c r="J79" s="2" t="s">
        <v>164</v>
      </c>
      <c r="K79" s="2" t="s">
        <v>164</v>
      </c>
      <c r="L79" s="6">
        <f t="shared" si="4"/>
        <v>23.66</v>
      </c>
      <c r="M79" s="6">
        <f t="shared" si="4"/>
        <v>23.66</v>
      </c>
      <c r="N79" s="2">
        <f t="shared" si="3"/>
        <v>18.561</v>
      </c>
      <c r="O79" s="9">
        <v>0.219</v>
      </c>
      <c r="P79" s="9">
        <v>5.4189999999999996</v>
      </c>
      <c r="Q79" s="2" t="s">
        <v>577</v>
      </c>
      <c r="R79" s="2">
        <v>4.8440000000000003</v>
      </c>
      <c r="S79" s="2">
        <v>8</v>
      </c>
      <c r="T79" s="2">
        <v>1.1479999999999999</v>
      </c>
      <c r="U79" s="2">
        <v>34</v>
      </c>
    </row>
    <row r="80" spans="1:21" ht="21" customHeight="1" x14ac:dyDescent="0.3">
      <c r="A80" s="2" t="s">
        <v>524</v>
      </c>
      <c r="B80" s="2" t="s">
        <v>18</v>
      </c>
      <c r="C80" s="2" t="s">
        <v>525</v>
      </c>
      <c r="D80" s="2" t="s">
        <v>526</v>
      </c>
      <c r="E80" s="2" t="s">
        <v>527</v>
      </c>
      <c r="F80" s="2" t="s">
        <v>528</v>
      </c>
      <c r="G80" s="2" t="s">
        <v>180</v>
      </c>
      <c r="H80" s="2" t="s">
        <v>498</v>
      </c>
      <c r="I80" s="2" t="s">
        <v>232</v>
      </c>
      <c r="J80" s="2" t="s">
        <v>498</v>
      </c>
      <c r="K80" s="2" t="s">
        <v>498</v>
      </c>
      <c r="L80" s="6">
        <f t="shared" si="4"/>
        <v>23.700000000000003</v>
      </c>
      <c r="M80" s="6">
        <f t="shared" si="4"/>
        <v>23.700000000000003</v>
      </c>
      <c r="N80" s="2">
        <f t="shared" si="3"/>
        <v>18.471</v>
      </c>
      <c r="O80" s="20">
        <v>0.51300000000000001</v>
      </c>
      <c r="P80" s="20">
        <v>4.5129999999999999</v>
      </c>
      <c r="Q80" s="2" t="s">
        <v>577</v>
      </c>
      <c r="R80" s="2">
        <v>4.8440000000000003</v>
      </c>
      <c r="S80" s="2">
        <v>8</v>
      </c>
      <c r="T80" s="2">
        <v>1.1479999999999999</v>
      </c>
      <c r="U80" s="2">
        <v>34</v>
      </c>
    </row>
    <row r="81" spans="1:21" ht="21" customHeight="1" x14ac:dyDescent="0.3">
      <c r="A81" s="2" t="s">
        <v>383</v>
      </c>
      <c r="B81" s="2" t="s">
        <v>529</v>
      </c>
      <c r="C81" s="2" t="s">
        <v>530</v>
      </c>
      <c r="D81" s="2" t="s">
        <v>18</v>
      </c>
      <c r="E81" s="2" t="s">
        <v>18</v>
      </c>
      <c r="F81" s="2" t="s">
        <v>18</v>
      </c>
      <c r="G81" s="2" t="s">
        <v>245</v>
      </c>
      <c r="H81" s="2" t="s">
        <v>531</v>
      </c>
      <c r="I81" s="2" t="s">
        <v>39</v>
      </c>
      <c r="J81" s="2" t="s">
        <v>178</v>
      </c>
      <c r="K81" s="2" t="s">
        <v>178</v>
      </c>
      <c r="L81" s="6">
        <f t="shared" si="4"/>
        <v>23.5</v>
      </c>
      <c r="M81" s="6">
        <f t="shared" si="4"/>
        <v>23.5</v>
      </c>
      <c r="N81" s="13"/>
      <c r="O81" s="17"/>
      <c r="P81" s="17"/>
      <c r="Q81" s="15" t="s">
        <v>578</v>
      </c>
      <c r="R81" s="13"/>
      <c r="S81" s="13"/>
      <c r="T81" s="13"/>
      <c r="U81" s="13"/>
    </row>
    <row r="82" spans="1:21" ht="21" customHeight="1" x14ac:dyDescent="0.3">
      <c r="A82" s="2" t="s">
        <v>532</v>
      </c>
      <c r="B82" s="2" t="s">
        <v>384</v>
      </c>
      <c r="C82" s="2" t="s">
        <v>533</v>
      </c>
      <c r="D82" s="2" t="s">
        <v>18</v>
      </c>
      <c r="E82" s="2" t="s">
        <v>527</v>
      </c>
      <c r="F82" s="2" t="s">
        <v>18</v>
      </c>
      <c r="G82" s="2" t="s">
        <v>180</v>
      </c>
      <c r="H82" s="2" t="s">
        <v>498</v>
      </c>
      <c r="I82" s="2" t="s">
        <v>232</v>
      </c>
      <c r="J82" s="6">
        <v>0</v>
      </c>
      <c r="K82" s="6">
        <v>0</v>
      </c>
      <c r="L82" s="2"/>
      <c r="M82" s="6"/>
      <c r="N82" s="14"/>
      <c r="O82" s="17"/>
      <c r="P82" s="17"/>
      <c r="Q82" s="16" t="s">
        <v>578</v>
      </c>
      <c r="R82" s="14"/>
      <c r="S82" s="14"/>
      <c r="T82" s="14"/>
      <c r="U82" s="14"/>
    </row>
    <row r="83" spans="1:21" ht="21" customHeight="1" x14ac:dyDescent="0.3">
      <c r="A83" s="2" t="s">
        <v>534</v>
      </c>
      <c r="B83" s="2" t="s">
        <v>384</v>
      </c>
      <c r="C83" s="2" t="s">
        <v>535</v>
      </c>
      <c r="D83" s="2" t="s">
        <v>18</v>
      </c>
      <c r="E83" s="2" t="s">
        <v>18</v>
      </c>
      <c r="F83" s="2" t="s">
        <v>18</v>
      </c>
      <c r="G83" s="2" t="s">
        <v>245</v>
      </c>
      <c r="H83" s="2" t="s">
        <v>531</v>
      </c>
      <c r="I83" s="2" t="s">
        <v>39</v>
      </c>
      <c r="J83" s="6">
        <v>0</v>
      </c>
      <c r="K83" s="6">
        <v>0</v>
      </c>
      <c r="L83" s="2"/>
      <c r="M83" s="6"/>
      <c r="N83" s="14"/>
      <c r="O83" s="17"/>
      <c r="P83" s="17"/>
      <c r="Q83" s="16" t="s">
        <v>578</v>
      </c>
      <c r="R83" s="14"/>
      <c r="S83" s="14"/>
      <c r="T83" s="14"/>
      <c r="U83" s="14"/>
    </row>
    <row r="84" spans="1:21" ht="21" customHeight="1" x14ac:dyDescent="0.3">
      <c r="A84" s="2" t="s">
        <v>536</v>
      </c>
      <c r="B84" s="2" t="s">
        <v>529</v>
      </c>
      <c r="C84" s="2" t="s">
        <v>537</v>
      </c>
      <c r="D84" s="2" t="s">
        <v>538</v>
      </c>
      <c r="E84" s="2" t="s">
        <v>539</v>
      </c>
      <c r="F84" s="2" t="s">
        <v>540</v>
      </c>
      <c r="G84" s="2" t="s">
        <v>541</v>
      </c>
      <c r="H84" s="2" t="s">
        <v>47</v>
      </c>
      <c r="I84" s="2" t="s">
        <v>125</v>
      </c>
      <c r="J84" s="6">
        <v>0</v>
      </c>
      <c r="K84" s="6">
        <v>0</v>
      </c>
      <c r="L84" s="2"/>
      <c r="M84" s="6"/>
      <c r="N84" s="2">
        <f t="shared" ref="N84:N89" si="5">G84-R84</f>
        <v>18.792000000000002</v>
      </c>
      <c r="O84" s="20">
        <v>2.4740000000000002</v>
      </c>
      <c r="P84" s="20">
        <v>2.4740000000000002</v>
      </c>
      <c r="Q84" s="2" t="s">
        <v>577</v>
      </c>
      <c r="R84" s="2">
        <v>4.4379999999999997</v>
      </c>
      <c r="S84" s="2">
        <v>9</v>
      </c>
      <c r="T84" s="2">
        <v>1.196</v>
      </c>
      <c r="U84" s="2">
        <v>27</v>
      </c>
    </row>
    <row r="85" spans="1:21" ht="21" customHeight="1" x14ac:dyDescent="0.3">
      <c r="A85" s="2" t="s">
        <v>542</v>
      </c>
      <c r="B85" s="2" t="s">
        <v>18</v>
      </c>
      <c r="C85" s="2" t="s">
        <v>543</v>
      </c>
      <c r="D85" s="2" t="s">
        <v>539</v>
      </c>
      <c r="E85" s="2" t="s">
        <v>516</v>
      </c>
      <c r="F85" s="2" t="s">
        <v>544</v>
      </c>
      <c r="G85" s="2" t="s">
        <v>545</v>
      </c>
      <c r="H85" s="2" t="s">
        <v>355</v>
      </c>
      <c r="I85" s="2" t="s">
        <v>99</v>
      </c>
      <c r="J85" s="6">
        <v>0</v>
      </c>
      <c r="K85" s="6">
        <v>0</v>
      </c>
      <c r="L85" s="2"/>
      <c r="M85" s="6"/>
      <c r="N85" s="2">
        <f t="shared" si="5"/>
        <v>18.692</v>
      </c>
      <c r="O85" s="20">
        <v>8.72E-2</v>
      </c>
      <c r="P85" s="20">
        <v>0.76700000000000002</v>
      </c>
      <c r="Q85" s="2" t="s">
        <v>577</v>
      </c>
      <c r="R85" s="2">
        <v>4.4379999999999997</v>
      </c>
      <c r="S85" s="2">
        <v>9</v>
      </c>
      <c r="T85" s="2">
        <v>1.196</v>
      </c>
      <c r="U85" s="2">
        <v>27</v>
      </c>
    </row>
    <row r="86" spans="1:21" ht="21" customHeight="1" x14ac:dyDescent="0.3">
      <c r="A86" s="2" t="s">
        <v>546</v>
      </c>
      <c r="B86" s="2" t="s">
        <v>18</v>
      </c>
      <c r="C86" s="2" t="s">
        <v>547</v>
      </c>
      <c r="D86" s="2" t="s">
        <v>548</v>
      </c>
      <c r="E86" s="2" t="s">
        <v>549</v>
      </c>
      <c r="F86" s="2" t="s">
        <v>550</v>
      </c>
      <c r="G86" s="2" t="s">
        <v>551</v>
      </c>
      <c r="H86" s="2" t="s">
        <v>21</v>
      </c>
      <c r="I86" s="2" t="s">
        <v>552</v>
      </c>
      <c r="J86" s="6">
        <v>0</v>
      </c>
      <c r="K86" s="6">
        <v>0</v>
      </c>
      <c r="L86" s="2"/>
      <c r="M86" s="6"/>
      <c r="N86" s="2">
        <f t="shared" si="5"/>
        <v>18.592000000000002</v>
      </c>
      <c r="O86" s="20">
        <v>1.0549999999999999</v>
      </c>
      <c r="P86" s="20">
        <v>0.56899999999999995</v>
      </c>
      <c r="Q86" s="2" t="s">
        <v>577</v>
      </c>
      <c r="R86" s="2">
        <v>4.4379999999999997</v>
      </c>
      <c r="S86" s="2">
        <v>9</v>
      </c>
      <c r="T86" s="2">
        <v>1.196</v>
      </c>
      <c r="U86" s="2">
        <v>27</v>
      </c>
    </row>
    <row r="87" spans="1:21" ht="21" customHeight="1" x14ac:dyDescent="0.3">
      <c r="A87" s="2" t="s">
        <v>553</v>
      </c>
      <c r="B87" s="2" t="s">
        <v>18</v>
      </c>
      <c r="C87" s="2" t="s">
        <v>554</v>
      </c>
      <c r="D87" s="2" t="s">
        <v>555</v>
      </c>
      <c r="E87" s="2" t="s">
        <v>556</v>
      </c>
      <c r="F87" s="2" t="s">
        <v>557</v>
      </c>
      <c r="G87" s="2" t="s">
        <v>558</v>
      </c>
      <c r="H87" s="2" t="s">
        <v>559</v>
      </c>
      <c r="I87" s="2" t="s">
        <v>367</v>
      </c>
      <c r="J87" s="6">
        <v>0</v>
      </c>
      <c r="K87" s="6">
        <v>0</v>
      </c>
      <c r="L87" s="2"/>
      <c r="M87" s="6"/>
      <c r="N87" s="2">
        <f t="shared" si="5"/>
        <v>18.492000000000001</v>
      </c>
      <c r="O87" s="20">
        <v>-0.94799999999999995</v>
      </c>
      <c r="P87" s="20">
        <v>2.992</v>
      </c>
      <c r="Q87" s="2" t="s">
        <v>577</v>
      </c>
      <c r="R87" s="2">
        <v>4.4379999999999997</v>
      </c>
      <c r="S87" s="2">
        <v>9</v>
      </c>
      <c r="T87" s="2">
        <v>1.196</v>
      </c>
      <c r="U87" s="2">
        <v>27</v>
      </c>
    </row>
    <row r="88" spans="1:21" ht="21" customHeight="1" x14ac:dyDescent="0.3">
      <c r="A88" s="2" t="s">
        <v>560</v>
      </c>
      <c r="B88" s="2" t="s">
        <v>18</v>
      </c>
      <c r="C88" s="2" t="s">
        <v>561</v>
      </c>
      <c r="D88" s="2" t="s">
        <v>562</v>
      </c>
      <c r="E88" s="2" t="s">
        <v>562</v>
      </c>
      <c r="F88" s="2" t="s">
        <v>563</v>
      </c>
      <c r="G88" s="2" t="s">
        <v>276</v>
      </c>
      <c r="H88" s="2" t="s">
        <v>404</v>
      </c>
      <c r="I88" s="6">
        <v>0</v>
      </c>
      <c r="J88" s="6">
        <v>0</v>
      </c>
      <c r="K88" s="6">
        <v>0</v>
      </c>
      <c r="L88" s="2"/>
      <c r="M88" s="6"/>
      <c r="N88" s="2">
        <f t="shared" si="5"/>
        <v>18.391999999999999</v>
      </c>
      <c r="O88" s="20">
        <v>-0.90700000000000003</v>
      </c>
      <c r="P88" s="19"/>
      <c r="Q88" s="2" t="s">
        <v>576</v>
      </c>
      <c r="R88" s="2">
        <v>4.4379999999999997</v>
      </c>
      <c r="S88" s="2">
        <v>9</v>
      </c>
      <c r="T88" s="2">
        <v>1.196</v>
      </c>
      <c r="U88" s="2">
        <v>27</v>
      </c>
    </row>
    <row r="89" spans="1:21" ht="21" customHeight="1" x14ac:dyDescent="0.3">
      <c r="A89" s="2" t="s">
        <v>35</v>
      </c>
      <c r="B89" s="2" t="s">
        <v>36</v>
      </c>
      <c r="C89" s="2" t="s">
        <v>564</v>
      </c>
      <c r="D89" s="2" t="s">
        <v>565</v>
      </c>
      <c r="E89" s="2" t="s">
        <v>565</v>
      </c>
      <c r="F89" s="2" t="s">
        <v>565</v>
      </c>
      <c r="G89" s="2" t="s">
        <v>566</v>
      </c>
      <c r="H89" s="2" t="s">
        <v>567</v>
      </c>
      <c r="I89" s="6">
        <v>0</v>
      </c>
      <c r="J89" s="6">
        <v>0</v>
      </c>
      <c r="K89" s="6">
        <v>0</v>
      </c>
      <c r="L89" s="2"/>
      <c r="M89" s="6"/>
      <c r="N89" s="2">
        <f t="shared" si="5"/>
        <v>18.352</v>
      </c>
      <c r="O89" s="20">
        <v>0.28199999999999997</v>
      </c>
      <c r="P89" s="19"/>
      <c r="Q89" s="2" t="s">
        <v>579</v>
      </c>
      <c r="R89" s="2">
        <v>4.4379999999999997</v>
      </c>
      <c r="S89" s="2">
        <v>9</v>
      </c>
      <c r="T89" s="2">
        <v>1.196</v>
      </c>
      <c r="U89" s="2">
        <v>27</v>
      </c>
    </row>
  </sheetData>
  <phoneticPr fontId="1" type="noConversion"/>
  <pageMargins left="0.75" right="0.75" top="1" bottom="1" header="0.5" footer="0.5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측점데이터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cp:lastPrinted>2026-03-03T00:42:26Z</cp:lastPrinted>
  <dcterms:created xsi:type="dcterms:W3CDTF">2025-12-12T23:44:21Z</dcterms:created>
  <dcterms:modified xsi:type="dcterms:W3CDTF">2026-03-04T03:36:37Z</dcterms:modified>
</cp:coreProperties>
</file>